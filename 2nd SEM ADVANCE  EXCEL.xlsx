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G:\My Drive\NAINA\"/>
    </mc:Choice>
  </mc:AlternateContent>
  <xr:revisionPtr revIDLastSave="0" documentId="13_ncr:1_{C6744106-AB8D-427D-865D-FD4246F596AB}" xr6:coauthVersionLast="47" xr6:coauthVersionMax="47" xr10:uidLastSave="{00000000-0000-0000-0000-000000000000}"/>
  <bookViews>
    <workbookView xWindow="-120" yWindow="-120" windowWidth="20730" windowHeight="11040" activeTab="1" xr2:uid="{144B2A83-251C-43FA-A5D1-410D004755C2}"/>
  </bookViews>
  <sheets>
    <sheet name="SETTINGS" sheetId="1" r:id="rId1"/>
    <sheet name="BUDGET PLANNING" sheetId="2" r:id="rId2"/>
    <sheet name="BUDGET TRACKING" sheetId="3" r:id="rId3"/>
    <sheet name="BUDGET DASHBOARD" sheetId="4" r:id="rId4"/>
    <sheet name="CALCULATIONS" sheetId="5" r:id="rId5"/>
  </sheets>
  <definedNames>
    <definedName name="budget" localSheetId="3">'BUDGET DASHBOARD'!$L1</definedName>
    <definedName name="budget_range" localSheetId="3">'BUDGET DASHBOARD'!$Q1</definedName>
    <definedName name="budget_rank" localSheetId="3">'BUDGET DASHBOARD'!$R1</definedName>
    <definedName name="cc_budget" localSheetId="4">CALCULATIONS!$K1</definedName>
    <definedName name="cc_delta" localSheetId="4">CALCULATIONS!$L1</definedName>
    <definedName name="cc_in_focus" localSheetId="4">CALCULATIONS!$G1</definedName>
    <definedName name="cc_month" localSheetId="4">CALCULATIONS!$F1</definedName>
    <definedName name="cc_show_rem_budget" localSheetId="4">CALCULATIONS!$I1</definedName>
    <definedName name="cc_show_type" localSheetId="4">CALCULATIONS!$H1</definedName>
    <definedName name="cc_tracked" localSheetId="4">CALCULATIONS!$J1</definedName>
    <definedName name="cc_type" localSheetId="4">CALCULATIONS!$E1</definedName>
    <definedName name="comb_rank" localSheetId="3">'BUDGET DASHBOARD'!$S1</definedName>
    <definedName name="comb_rank_norm" localSheetId="3">'BUDGET DASHBOARD'!$U1</definedName>
    <definedName name="comb_rank_norm_run_range" localSheetId="3">'BUDGET DASHBOARD'!$V1</definedName>
    <definedName name="comb_rank_range" localSheetId="3">'BUDGET DASHBOARD'!$T1</definedName>
    <definedName name="comb_rank_unique" localSheetId="3">'BUDGET DASHBOARD'!$W1</definedName>
    <definedName name="current_date">DATE(2022,3,15)</definedName>
    <definedName name="EXPENSES">'BUDGET PLANNING'!$D$42</definedName>
    <definedName name="expenses_header_row">ROW('BUDGET PLANNING'!$C$22)</definedName>
    <definedName name="EXPENSES_MAX_ROW">MAX(ROW(EXPENSES))</definedName>
    <definedName name="EXPENSES_MIN_ROW">MIN(ROW(EXPENSES))</definedName>
    <definedName name="EXPENSES_TOTAL_ROW">ROW('BUDGET PLANNING'!#REF!)</definedName>
    <definedName name="header_row_id" localSheetId="3">'BUDGET DASHBOARD'!$D1</definedName>
    <definedName name="INCOME">'BUDGET PLANNING'!$C$9</definedName>
    <definedName name="INCOME_HEADER_ROW">ROW('BUDGET PLANNING'!$C$9)</definedName>
    <definedName name="INCOME_MAX_ROW">MAX(ROW(INCOME))</definedName>
    <definedName name="INCOME_MIN_ROW">MIN(ROW(INCOME))</definedName>
    <definedName name="INCOME_TOTAL_ROW">ROW('BUDGET PLANNING'!$C$20)</definedName>
    <definedName name="is_cat" localSheetId="3">'BUDGET DASHBOARD'!$F1</definedName>
    <definedName name="is_empty" localSheetId="3">'BUDGET DASHBOARD'!$H1</definedName>
    <definedName name="is_header" localSheetId="3">'BUDGET DASHBOARD'!$E1</definedName>
    <definedName name="is_total" localSheetId="3">'BUDGET DASHBOARD'!$G1</definedName>
    <definedName name="item" localSheetId="3">'BUDGET DASHBOARD'!$J1</definedName>
    <definedName name="out_budget" localSheetId="3">'BUDGET DASHBOARD'!$AA1</definedName>
    <definedName name="out_percentage_completed" localSheetId="3">'BUDGET DASHBOARD'!$AB1</definedName>
    <definedName name="out_tracked" localSheetId="3">'BUDGET DASHBOARD'!$Z1</definedName>
    <definedName name="row_id" localSheetId="3">'BUDGET DASHBOARD'!$C1</definedName>
    <definedName name="SAVINGS">'BUDGET PLANNING'!$K$52</definedName>
    <definedName name="SAVINGS_HEADER_ROW">ROW(SAVINGS('BUDGET PLANNING'!$C$48))</definedName>
    <definedName name="SAVINGS_MAX_ROW">MAX(ROW('BUDGET PLANNING'!$C$48))</definedName>
    <definedName name="SAVINGS_MIN_ROW">MIN(ROW('BUDGET PLANNING'!$C$48))</definedName>
    <definedName name="SAVINGS_TOTAL_ROW">TOTAL(ROW('BUDGET PLANNING'!$C$55))</definedName>
    <definedName name="selected_period">CALCULATIONS!$E$20</definedName>
    <definedName name="selected_period_display">CALCULATIONS!$E$21</definedName>
    <definedName name="selected_year">CALCULATIONS!$E$19</definedName>
    <definedName name="Shift_late_income_starting_day">SETTINGS!$E$18</definedName>
    <definedName name="Shift_late_income_status">SETTINGS!$E$18</definedName>
    <definedName name="shift_late_income_status_2">SETTINGS!$E$16</definedName>
    <definedName name="sort_max_row" localSheetId="3">'BUDGET DASHBOARD'!$N1</definedName>
    <definedName name="sort_min_row" localSheetId="3">'BUDGET DASHBOARD'!$M1</definedName>
    <definedName name="STARTING_ON_DAY_X_IN_MONTH">SETTINGS!$E$18</definedName>
    <definedName name="STARTING_YEAR">SETTINGS!$E$8</definedName>
    <definedName name="tracked" localSheetId="3">'BUDGET DASHBOARD'!$K1</definedName>
    <definedName name="tracked_range" localSheetId="3">'BUDGET DASHBOARD'!$O1</definedName>
    <definedName name="tracked_rank" localSheetId="3">'BUDGET DASHBOARD'!$P1</definedName>
    <definedName name="tracking1">TRACKING[#All]</definedName>
    <definedName name="type" localSheetId="3">'BUDGET DASHBOARD'!$I1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 i="5" l="1"/>
  <c r="M59" i="5"/>
  <c r="N59" i="5"/>
  <c r="O59" i="5"/>
  <c r="M60" i="5"/>
  <c r="N60" i="5"/>
  <c r="O60" i="5"/>
  <c r="M61" i="5"/>
  <c r="N61" i="5"/>
  <c r="O61" i="5"/>
  <c r="M63" i="5"/>
  <c r="N63" i="5"/>
  <c r="O63" i="5"/>
  <c r="M64" i="5"/>
  <c r="N64" i="5"/>
  <c r="O64" i="5"/>
  <c r="M65" i="5"/>
  <c r="N65" i="5"/>
  <c r="O65" i="5"/>
  <c r="N67" i="5"/>
  <c r="O67" i="5"/>
  <c r="N68" i="5"/>
  <c r="O68" i="5"/>
  <c r="N69" i="5"/>
  <c r="O69" i="5"/>
  <c r="M71" i="5"/>
  <c r="N71" i="5"/>
  <c r="O71" i="5"/>
  <c r="M72" i="5"/>
  <c r="N72" i="5"/>
  <c r="O72" i="5"/>
  <c r="M73" i="5"/>
  <c r="N73" i="5"/>
  <c r="O73" i="5"/>
  <c r="M75" i="5"/>
  <c r="N75" i="5"/>
  <c r="O75" i="5"/>
  <c r="M76" i="5"/>
  <c r="N76" i="5"/>
  <c r="O76" i="5"/>
  <c r="M77" i="5"/>
  <c r="N77" i="5"/>
  <c r="O77" i="5"/>
  <c r="M79" i="5"/>
  <c r="N79" i="5"/>
  <c r="O79" i="5"/>
  <c r="M80" i="5"/>
  <c r="N80" i="5"/>
  <c r="O80" i="5"/>
  <c r="M81" i="5"/>
  <c r="N81" i="5"/>
  <c r="O81" i="5"/>
  <c r="M83" i="5"/>
  <c r="N83" i="5"/>
  <c r="O83" i="5"/>
  <c r="M84" i="5"/>
  <c r="N84" i="5"/>
  <c r="O84" i="5"/>
  <c r="M85" i="5"/>
  <c r="N85" i="5"/>
  <c r="O85" i="5"/>
  <c r="M87" i="5"/>
  <c r="N87" i="5"/>
  <c r="O87" i="5"/>
  <c r="M88" i="5"/>
  <c r="N88" i="5"/>
  <c r="O88" i="5"/>
  <c r="M89" i="5"/>
  <c r="N89" i="5"/>
  <c r="O89" i="5"/>
  <c r="M91" i="5"/>
  <c r="N91" i="5"/>
  <c r="O91" i="5"/>
  <c r="M92" i="5"/>
  <c r="N92" i="5"/>
  <c r="O92" i="5"/>
  <c r="M93" i="5"/>
  <c r="N93" i="5"/>
  <c r="O93" i="5"/>
  <c r="M95" i="5"/>
  <c r="N95" i="5"/>
  <c r="O95" i="5"/>
  <c r="M96" i="5"/>
  <c r="N96" i="5"/>
  <c r="O96" i="5"/>
  <c r="M97" i="5"/>
  <c r="N97" i="5"/>
  <c r="O97" i="5"/>
  <c r="M99" i="5"/>
  <c r="N99" i="5"/>
  <c r="O99" i="5"/>
  <c r="M100" i="5"/>
  <c r="N100" i="5"/>
  <c r="O100" i="5"/>
  <c r="M101" i="5"/>
  <c r="N101" i="5"/>
  <c r="O101" i="5"/>
  <c r="O56" i="5"/>
  <c r="O57" i="5"/>
  <c r="O55" i="5"/>
  <c r="N56" i="5"/>
  <c r="N57" i="5"/>
  <c r="N55" i="5"/>
  <c r="I59" i="5"/>
  <c r="I60" i="5"/>
  <c r="I61" i="5"/>
  <c r="I63" i="5"/>
  <c r="I64" i="5"/>
  <c r="I65" i="5"/>
  <c r="I67" i="5"/>
  <c r="I68" i="5"/>
  <c r="I69" i="5"/>
  <c r="I71" i="5"/>
  <c r="I72" i="5"/>
  <c r="I73" i="5"/>
  <c r="I75" i="5"/>
  <c r="I76" i="5"/>
  <c r="I77" i="5"/>
  <c r="I79" i="5"/>
  <c r="I80" i="5"/>
  <c r="I81" i="5"/>
  <c r="I83" i="5"/>
  <c r="I84" i="5"/>
  <c r="I85" i="5"/>
  <c r="I87" i="5"/>
  <c r="I88" i="5"/>
  <c r="I89" i="5"/>
  <c r="I91" i="5"/>
  <c r="I92" i="5"/>
  <c r="I93" i="5"/>
  <c r="I95" i="5"/>
  <c r="I96" i="5"/>
  <c r="I97" i="5"/>
  <c r="I99" i="5"/>
  <c r="I100" i="5"/>
  <c r="I101" i="5"/>
  <c r="I56" i="5"/>
  <c r="I57" i="5"/>
  <c r="I55" i="5"/>
  <c r="H59" i="5"/>
  <c r="H60" i="5"/>
  <c r="H61" i="5"/>
  <c r="H63" i="5"/>
  <c r="H64" i="5"/>
  <c r="H65" i="5"/>
  <c r="H67" i="5"/>
  <c r="H68" i="5"/>
  <c r="H69" i="5"/>
  <c r="H71" i="5"/>
  <c r="H72" i="5"/>
  <c r="H73" i="5"/>
  <c r="H75" i="5"/>
  <c r="H76" i="5"/>
  <c r="H77" i="5"/>
  <c r="H79" i="5"/>
  <c r="H80" i="5"/>
  <c r="H81" i="5"/>
  <c r="H83" i="5"/>
  <c r="H84" i="5"/>
  <c r="H85" i="5"/>
  <c r="H87" i="5"/>
  <c r="H88" i="5"/>
  <c r="H89" i="5"/>
  <c r="H91" i="5"/>
  <c r="H92" i="5"/>
  <c r="H93" i="5"/>
  <c r="H95" i="5"/>
  <c r="H96" i="5"/>
  <c r="H97" i="5"/>
  <c r="H99" i="5"/>
  <c r="H100" i="5"/>
  <c r="H101" i="5"/>
  <c r="H57" i="5"/>
  <c r="H56" i="5"/>
  <c r="H55" i="5"/>
  <c r="Y11" i="4"/>
  <c r="D99" i="5"/>
  <c r="D95" i="5"/>
  <c r="D91" i="5"/>
  <c r="D87" i="5"/>
  <c r="D83" i="5"/>
  <c r="D79" i="5"/>
  <c r="D75" i="5"/>
  <c r="D71" i="5"/>
  <c r="D67" i="5"/>
  <c r="D63" i="5"/>
  <c r="D59" i="5"/>
  <c r="D55" i="5"/>
  <c r="F55" i="5" s="1"/>
  <c r="AQ36" i="4"/>
  <c r="AJ36" i="4"/>
  <c r="AI23" i="4"/>
  <c r="AJ18" i="4"/>
  <c r="AJ19" i="4"/>
  <c r="AI18" i="4"/>
  <c r="AI19" i="4"/>
  <c r="AI17" i="4"/>
  <c r="N41" i="5"/>
  <c r="J41" i="5"/>
  <c r="H69" i="3" a="1"/>
  <c r="H69" i="3" s="1"/>
  <c r="I69" i="3"/>
  <c r="H68" i="3" a="1"/>
  <c r="H68" i="3" s="1"/>
  <c r="I68" i="3"/>
  <c r="H67" i="3" a="1"/>
  <c r="H67" i="3" s="1"/>
  <c r="I67" i="3"/>
  <c r="H66" i="3" a="1"/>
  <c r="H66" i="3" s="1"/>
  <c r="I66" i="3"/>
  <c r="H65" i="3" a="1"/>
  <c r="H65" i="3" s="1"/>
  <c r="I65" i="3"/>
  <c r="H64" i="3" a="1"/>
  <c r="H64" i="3" s="1"/>
  <c r="I64" i="3"/>
  <c r="H63" i="3" a="1"/>
  <c r="H63" i="3" s="1"/>
  <c r="I63" i="3"/>
  <c r="H62" i="3" a="1"/>
  <c r="H62" i="3" s="1"/>
  <c r="I62" i="3"/>
  <c r="H61" i="3" a="1"/>
  <c r="H61" i="3" s="1"/>
  <c r="I61" i="3"/>
  <c r="H60" i="3" a="1"/>
  <c r="H60" i="3" s="1"/>
  <c r="I60" i="3"/>
  <c r="H59" i="3" a="1"/>
  <c r="H59" i="3" s="1"/>
  <c r="I59" i="3"/>
  <c r="H53" i="3" a="1"/>
  <c r="H53" i="3" s="1"/>
  <c r="I53" i="3"/>
  <c r="H57" i="3" a="1"/>
  <c r="H57" i="3" s="1"/>
  <c r="I57" i="3"/>
  <c r="H56" i="3" a="1"/>
  <c r="H56" i="3" s="1"/>
  <c r="I56" i="3"/>
  <c r="H55" i="3" a="1"/>
  <c r="H55" i="3" s="1"/>
  <c r="I55" i="3"/>
  <c r="H54" i="3" a="1"/>
  <c r="H54" i="3" s="1"/>
  <c r="I54" i="3"/>
  <c r="H52" i="3" a="1"/>
  <c r="H52" i="3" s="1"/>
  <c r="I52" i="3"/>
  <c r="H51" i="3" a="1"/>
  <c r="H51" i="3" s="1"/>
  <c r="I51" i="3"/>
  <c r="H50" i="3" a="1"/>
  <c r="H50" i="3" s="1"/>
  <c r="I50" i="3"/>
  <c r="H49" i="3" a="1"/>
  <c r="H49" i="3" s="1"/>
  <c r="I49" i="3"/>
  <c r="H48" i="3" a="1"/>
  <c r="H48" i="3" s="1"/>
  <c r="I48" i="3"/>
  <c r="H47" i="3" a="1"/>
  <c r="H47" i="3" s="1"/>
  <c r="I47" i="3"/>
  <c r="H46" i="3" a="1"/>
  <c r="H46" i="3" s="1"/>
  <c r="I46" i="3"/>
  <c r="H45" i="3" a="1"/>
  <c r="H45" i="3" s="1"/>
  <c r="I45" i="3"/>
  <c r="H44" i="3" a="1"/>
  <c r="H44" i="3" s="1"/>
  <c r="I44" i="3"/>
  <c r="H43" i="3" a="1"/>
  <c r="H43" i="3" s="1"/>
  <c r="I43" i="3"/>
  <c r="H42" i="3" a="1"/>
  <c r="H42" i="3" s="1"/>
  <c r="I42" i="3"/>
  <c r="H41" i="3" a="1"/>
  <c r="H41" i="3" s="1"/>
  <c r="I41" i="3"/>
  <c r="H37" i="3" a="1"/>
  <c r="H37" i="3" s="1"/>
  <c r="I37" i="3"/>
  <c r="H36" i="3" a="1"/>
  <c r="H36" i="3" s="1"/>
  <c r="I36" i="3"/>
  <c r="H30" i="3" a="1"/>
  <c r="H30" i="3" s="1"/>
  <c r="I30" i="3"/>
  <c r="H35" i="3" a="1"/>
  <c r="H35" i="3" s="1"/>
  <c r="I35" i="3"/>
  <c r="H34" i="3" a="1"/>
  <c r="H34" i="3" s="1"/>
  <c r="I34" i="3"/>
  <c r="H33" i="3" a="1"/>
  <c r="H33" i="3" s="1"/>
  <c r="I33" i="3"/>
  <c r="H32" i="3" a="1"/>
  <c r="H32" i="3" s="1"/>
  <c r="I32" i="3"/>
  <c r="H31" i="3" a="1"/>
  <c r="H31" i="3" s="1"/>
  <c r="I31" i="3"/>
  <c r="H29" i="3" a="1"/>
  <c r="H29" i="3" s="1"/>
  <c r="I29" i="3"/>
  <c r="H28" i="3" a="1"/>
  <c r="H28" i="3" s="1"/>
  <c r="I28" i="3"/>
  <c r="H27" i="3" a="1"/>
  <c r="H27" i="3" s="1"/>
  <c r="I27" i="3"/>
  <c r="H26" i="3" a="1"/>
  <c r="H26" i="3" s="1"/>
  <c r="I26" i="3"/>
  <c r="H25" i="3" a="1"/>
  <c r="H25" i="3" s="1"/>
  <c r="I25" i="3"/>
  <c r="H24" i="3" a="1"/>
  <c r="H24" i="3" s="1"/>
  <c r="I24" i="3"/>
  <c r="H23" i="3" a="1"/>
  <c r="H23" i="3" s="1"/>
  <c r="I23" i="3"/>
  <c r="H22" i="3" a="1"/>
  <c r="H22" i="3" s="1"/>
  <c r="I22" i="3"/>
  <c r="H21" i="3" a="1"/>
  <c r="H21" i="3" s="1"/>
  <c r="I21" i="3"/>
  <c r="H20" i="3" a="1"/>
  <c r="H20" i="3" s="1"/>
  <c r="I20" i="3"/>
  <c r="H12" i="3" a="1"/>
  <c r="H12" i="3" s="1"/>
  <c r="I12" i="3"/>
  <c r="H19" i="3" a="1"/>
  <c r="H19" i="3" s="1"/>
  <c r="I19" i="3"/>
  <c r="H18" i="3" a="1"/>
  <c r="H18" i="3" s="1"/>
  <c r="I18" i="3"/>
  <c r="H17" i="3" a="1"/>
  <c r="H17" i="3" s="1"/>
  <c r="I17" i="3"/>
  <c r="AD18" i="4"/>
  <c r="AD19" i="4"/>
  <c r="AD31" i="4"/>
  <c r="AD13" i="4"/>
  <c r="AC18" i="4"/>
  <c r="AC19" i="4"/>
  <c r="AC30" i="4"/>
  <c r="AC31" i="4"/>
  <c r="AC13" i="4"/>
  <c r="AB18" i="4"/>
  <c r="AB19" i="4"/>
  <c r="AB30" i="4"/>
  <c r="AB31" i="4"/>
  <c r="AB13" i="4"/>
  <c r="AA18" i="4"/>
  <c r="AA19" i="4"/>
  <c r="AA30" i="4"/>
  <c r="AA31" i="4"/>
  <c r="AA13" i="4"/>
  <c r="Z18" i="4"/>
  <c r="Z19" i="4"/>
  <c r="Z30" i="4"/>
  <c r="Z31" i="4"/>
  <c r="Z13" i="4"/>
  <c r="Y18" i="4"/>
  <c r="Y30" i="4"/>
  <c r="X17" i="4"/>
  <c r="X18" i="4"/>
  <c r="X19" i="4"/>
  <c r="X29" i="4"/>
  <c r="X30" i="4"/>
  <c r="X31" i="4"/>
  <c r="X38" i="4"/>
  <c r="X39" i="4"/>
  <c r="X40" i="4"/>
  <c r="X41" i="4"/>
  <c r="X42" i="4"/>
  <c r="X43" i="4"/>
  <c r="X44" i="4"/>
  <c r="X45" i="4"/>
  <c r="X46" i="4"/>
  <c r="X47" i="4"/>
  <c r="X48" i="4"/>
  <c r="X49" i="4"/>
  <c r="X50" i="4"/>
  <c r="W37" i="4"/>
  <c r="W38" i="4"/>
  <c r="W39" i="4"/>
  <c r="W40" i="4"/>
  <c r="W41" i="4"/>
  <c r="W42" i="4"/>
  <c r="W43" i="4"/>
  <c r="W44" i="4"/>
  <c r="W45" i="4"/>
  <c r="W46" i="4"/>
  <c r="W47" i="4"/>
  <c r="W48" i="4"/>
  <c r="W49" i="4"/>
  <c r="W50" i="4"/>
  <c r="W51" i="4"/>
  <c r="W17" i="4"/>
  <c r="W18" i="4"/>
  <c r="W19" i="4"/>
  <c r="W29" i="4"/>
  <c r="W30" i="4"/>
  <c r="W31" i="4"/>
  <c r="W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13" i="4"/>
  <c r="U17" i="4"/>
  <c r="U18" i="4"/>
  <c r="U19" i="4"/>
  <c r="U29" i="4"/>
  <c r="U30" i="4"/>
  <c r="U31" i="4"/>
  <c r="U37" i="4"/>
  <c r="U38" i="4"/>
  <c r="U39" i="4"/>
  <c r="U40" i="4"/>
  <c r="U41" i="4"/>
  <c r="U42" i="4"/>
  <c r="U43" i="4"/>
  <c r="U44" i="4"/>
  <c r="U45" i="4"/>
  <c r="U46" i="4"/>
  <c r="U47" i="4"/>
  <c r="U48" i="4"/>
  <c r="U49" i="4"/>
  <c r="U50" i="4"/>
  <c r="U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13" i="4"/>
  <c r="S17" i="4"/>
  <c r="S18" i="4"/>
  <c r="S19" i="4"/>
  <c r="S29" i="4"/>
  <c r="S30" i="4"/>
  <c r="S31" i="4"/>
  <c r="S37" i="4"/>
  <c r="S38" i="4"/>
  <c r="S39" i="4"/>
  <c r="S40" i="4"/>
  <c r="S41" i="4"/>
  <c r="S42" i="4"/>
  <c r="S43" i="4"/>
  <c r="S44" i="4"/>
  <c r="S45" i="4"/>
  <c r="S46" i="4"/>
  <c r="S47" i="4"/>
  <c r="S48" i="4"/>
  <c r="S49" i="4"/>
  <c r="S50" i="4"/>
  <c r="S13" i="4"/>
  <c r="P13" i="4"/>
  <c r="R17" i="4"/>
  <c r="R18" i="4"/>
  <c r="R19" i="4"/>
  <c r="R29" i="4"/>
  <c r="R30" i="4"/>
  <c r="R31" i="4"/>
  <c r="R37" i="4"/>
  <c r="R38" i="4"/>
  <c r="R39" i="4"/>
  <c r="R40" i="4"/>
  <c r="R41" i="4"/>
  <c r="R42" i="4"/>
  <c r="R43" i="4"/>
  <c r="R44" i="4"/>
  <c r="R45" i="4"/>
  <c r="R46" i="4"/>
  <c r="R47" i="4"/>
  <c r="R48" i="4"/>
  <c r="R49" i="4"/>
  <c r="R50" i="4"/>
  <c r="R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13" i="4"/>
  <c r="P17" i="4"/>
  <c r="P18" i="4"/>
  <c r="P19" i="4"/>
  <c r="P29" i="4"/>
  <c r="P30" i="4"/>
  <c r="P31" i="4"/>
  <c r="P37" i="4"/>
  <c r="P38" i="4"/>
  <c r="P39" i="4"/>
  <c r="P40" i="4"/>
  <c r="P41" i="4"/>
  <c r="P42" i="4"/>
  <c r="P43" i="4"/>
  <c r="P44" i="4"/>
  <c r="P45" i="4"/>
  <c r="P46" i="4"/>
  <c r="P47" i="4"/>
  <c r="P48" i="4"/>
  <c r="P49" i="4"/>
  <c r="P50"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13" i="4"/>
  <c r="M13" i="4" a="1"/>
  <c r="M13" i="4" s="1"/>
  <c r="M17" i="4" a="1"/>
  <c r="M17" i="4" s="1"/>
  <c r="M18" i="4" a="1"/>
  <c r="M18" i="4" s="1"/>
  <c r="M29" i="4" a="1"/>
  <c r="M29" i="4" s="1"/>
  <c r="M30" i="4" a="1"/>
  <c r="M30" i="4" s="1"/>
  <c r="M31" i="4" a="1"/>
  <c r="M31" i="4" s="1"/>
  <c r="M37" i="4" a="1"/>
  <c r="M37" i="4" s="1"/>
  <c r="M38" i="4" a="1"/>
  <c r="M38" i="4" s="1"/>
  <c r="M39" i="4" a="1"/>
  <c r="M39" i="4" s="1"/>
  <c r="M40" i="4" a="1"/>
  <c r="M40" i="4" s="1"/>
  <c r="M41" i="4" a="1"/>
  <c r="M41" i="4" s="1"/>
  <c r="M42" i="4" a="1"/>
  <c r="M42" i="4" s="1"/>
  <c r="M43" i="4" a="1"/>
  <c r="M43" i="4" s="1"/>
  <c r="M44" i="4" a="1"/>
  <c r="M44" i="4" s="1"/>
  <c r="M45" i="4" a="1"/>
  <c r="M45" i="4" s="1"/>
  <c r="M46" i="4" a="1"/>
  <c r="M46" i="4" s="1"/>
  <c r="M47" i="4" a="1"/>
  <c r="M47" i="4" s="1"/>
  <c r="M48" i="4" a="1"/>
  <c r="M48" i="4" s="1"/>
  <c r="M49" i="4" a="1"/>
  <c r="M49" i="4" s="1"/>
  <c r="M50" i="4" a="1"/>
  <c r="M50" i="4" s="1"/>
  <c r="L37" i="4"/>
  <c r="L17" i="4"/>
  <c r="L29" i="4"/>
  <c r="K37" i="4"/>
  <c r="K29" i="4"/>
  <c r="K17" i="4"/>
  <c r="H40" i="3" a="1"/>
  <c r="H40" i="3" s="1"/>
  <c r="I40" i="3"/>
  <c r="H13" i="3" a="1"/>
  <c r="H13" i="3" s="1"/>
  <c r="I13" i="3"/>
  <c r="H39" i="3" a="1"/>
  <c r="H39" i="3" s="1"/>
  <c r="I39" i="3"/>
  <c r="H38" i="3" a="1"/>
  <c r="H38" i="3" s="1"/>
  <c r="I38" i="3"/>
  <c r="C37" i="4"/>
  <c r="X37" i="4" s="1"/>
  <c r="C13" i="4" a="1"/>
  <c r="C13" i="4" s="1"/>
  <c r="X13" i="4" s="1"/>
  <c r="E20" i="5" a="1"/>
  <c r="E20" i="5" s="1"/>
  <c r="G56" i="5" s="1"/>
  <c r="E19" i="5" a="1"/>
  <c r="E19" i="5" s="1"/>
  <c r="E8" i="5" a="1"/>
  <c r="E8" i="5" s="1"/>
  <c r="E9" i="5"/>
  <c r="E11" i="5"/>
  <c r="E12" i="5" a="1"/>
  <c r="E12" i="5" s="1"/>
  <c r="I14" i="3"/>
  <c r="I15" i="3"/>
  <c r="I16" i="3"/>
  <c r="I58" i="3"/>
  <c r="H14" i="3" a="1"/>
  <c r="H14" i="3" s="1"/>
  <c r="H15" i="3" a="1"/>
  <c r="H15" i="3" s="1"/>
  <c r="H58" i="3" a="1"/>
  <c r="H58" i="3" s="1"/>
  <c r="H16" i="3" a="1"/>
  <c r="H16" i="3" s="1"/>
  <c r="BF55" i="2"/>
  <c r="BE55" i="2"/>
  <c r="BD55" i="2"/>
  <c r="BC55" i="2"/>
  <c r="BB55" i="2"/>
  <c r="BA55" i="2"/>
  <c r="AZ55" i="2"/>
  <c r="AY55" i="2"/>
  <c r="AX55" i="2"/>
  <c r="AW55" i="2"/>
  <c r="AV55" i="2"/>
  <c r="AU55" i="2"/>
  <c r="BG55" i="2" s="1"/>
  <c r="BG54" i="2"/>
  <c r="BG53" i="2"/>
  <c r="BG52" i="2"/>
  <c r="BG51" i="2"/>
  <c r="BG50" i="2"/>
  <c r="BG49" i="2"/>
  <c r="BG48" i="2"/>
  <c r="BG43" i="2"/>
  <c r="BF41" i="2"/>
  <c r="BE41" i="2"/>
  <c r="BE7" i="2" s="1"/>
  <c r="BE6" i="2" s="1"/>
  <c r="BD41" i="2"/>
  <c r="BC41" i="2"/>
  <c r="BC7" i="2" s="1"/>
  <c r="BC6" i="2" s="1"/>
  <c r="BB41" i="2"/>
  <c r="BA41" i="2"/>
  <c r="BA7" i="2" s="1"/>
  <c r="BA6" i="2" s="1"/>
  <c r="AZ41" i="2"/>
  <c r="AY41" i="2"/>
  <c r="AY7" i="2" s="1"/>
  <c r="AY6" i="2" s="1"/>
  <c r="AX41" i="2"/>
  <c r="AW41" i="2"/>
  <c r="AW7" i="2" s="1"/>
  <c r="AW6" i="2" s="1"/>
  <c r="AV41" i="2"/>
  <c r="AU41" i="2"/>
  <c r="AU7" i="2" s="1"/>
  <c r="AU6" i="2" s="1"/>
  <c r="BG40" i="2"/>
  <c r="BG39" i="2"/>
  <c r="BG38" i="2"/>
  <c r="BG37" i="2"/>
  <c r="BG36" i="2"/>
  <c r="BG35" i="2"/>
  <c r="BG34" i="2"/>
  <c r="BG33" i="2"/>
  <c r="BG32" i="2"/>
  <c r="BG31" i="2"/>
  <c r="BG30" i="2"/>
  <c r="BG29" i="2"/>
  <c r="BG28" i="2"/>
  <c r="BG27" i="2"/>
  <c r="BG26" i="2"/>
  <c r="BG22" i="2"/>
  <c r="BF20" i="2"/>
  <c r="BE20" i="2"/>
  <c r="BD20" i="2"/>
  <c r="BC20" i="2"/>
  <c r="BB20" i="2"/>
  <c r="BA20" i="2"/>
  <c r="AZ20" i="2"/>
  <c r="AY20" i="2"/>
  <c r="AX20" i="2"/>
  <c r="AW20" i="2"/>
  <c r="AV20" i="2"/>
  <c r="AU20" i="2"/>
  <c r="BG20" i="2" s="1"/>
  <c r="BG19" i="2"/>
  <c r="BG18" i="2"/>
  <c r="BG17" i="2"/>
  <c r="BG16" i="2"/>
  <c r="BG15" i="2"/>
  <c r="BG14" i="2"/>
  <c r="BG13" i="2"/>
  <c r="BG12" i="2"/>
  <c r="BG11" i="2"/>
  <c r="BG10" i="2"/>
  <c r="BG9" i="2"/>
  <c r="BF7" i="2"/>
  <c r="BF6" i="2" s="1"/>
  <c r="BD7" i="2"/>
  <c r="BD6" i="2" s="1"/>
  <c r="BB7" i="2"/>
  <c r="BB6" i="2" s="1"/>
  <c r="AZ7" i="2"/>
  <c r="AZ6" i="2" s="1"/>
  <c r="AX7" i="2"/>
  <c r="AX6" i="2" s="1"/>
  <c r="AV7" i="2"/>
  <c r="AV6" i="2" s="1"/>
  <c r="AR55" i="2"/>
  <c r="AQ55" i="2"/>
  <c r="AP55" i="2"/>
  <c r="AO55" i="2"/>
  <c r="AN55" i="2"/>
  <c r="AM55" i="2"/>
  <c r="AL55" i="2"/>
  <c r="AK55" i="2"/>
  <c r="AJ55" i="2"/>
  <c r="AI55" i="2"/>
  <c r="AH55" i="2"/>
  <c r="AG55" i="2"/>
  <c r="AS55" i="2" s="1"/>
  <c r="AS54" i="2"/>
  <c r="AS53" i="2"/>
  <c r="AS52" i="2"/>
  <c r="AS51" i="2"/>
  <c r="AS50" i="2"/>
  <c r="AS49" i="2"/>
  <c r="AS48" i="2"/>
  <c r="AS43" i="2"/>
  <c r="AR41" i="2"/>
  <c r="AR7" i="2" s="1"/>
  <c r="AR6" i="2" s="1"/>
  <c r="AQ41" i="2"/>
  <c r="AQ7" i="2" s="1"/>
  <c r="AQ6" i="2" s="1"/>
  <c r="AP41" i="2"/>
  <c r="AO41" i="2"/>
  <c r="AO7" i="2" s="1"/>
  <c r="AO6" i="2" s="1"/>
  <c r="AN41" i="2"/>
  <c r="AN7" i="2" s="1"/>
  <c r="AN6" i="2" s="1"/>
  <c r="AM41" i="2"/>
  <c r="AM7" i="2" s="1"/>
  <c r="AM6" i="2" s="1"/>
  <c r="AL41" i="2"/>
  <c r="AK41" i="2"/>
  <c r="AK7" i="2" s="1"/>
  <c r="AK6" i="2" s="1"/>
  <c r="AJ41" i="2"/>
  <c r="AJ7" i="2" s="1"/>
  <c r="AJ6" i="2" s="1"/>
  <c r="AI41" i="2"/>
  <c r="AI7" i="2" s="1"/>
  <c r="AI6" i="2" s="1"/>
  <c r="AH41" i="2"/>
  <c r="AG41" i="2"/>
  <c r="AG7" i="2" s="1"/>
  <c r="AG6" i="2" s="1"/>
  <c r="AS40" i="2"/>
  <c r="AS39" i="2"/>
  <c r="AS38" i="2"/>
  <c r="AS37" i="2"/>
  <c r="AS36" i="2"/>
  <c r="AS35" i="2"/>
  <c r="AS34" i="2"/>
  <c r="AS33" i="2"/>
  <c r="AS32" i="2"/>
  <c r="AS31" i="2"/>
  <c r="AS30" i="2"/>
  <c r="AS29" i="2"/>
  <c r="AS28" i="2"/>
  <c r="AS27" i="2"/>
  <c r="AS26" i="2"/>
  <c r="AS22" i="2"/>
  <c r="AR20" i="2"/>
  <c r="AQ20" i="2"/>
  <c r="AP20" i="2"/>
  <c r="AO20" i="2"/>
  <c r="AN20" i="2"/>
  <c r="AM20" i="2"/>
  <c r="AL20" i="2"/>
  <c r="AK20" i="2"/>
  <c r="AJ20" i="2"/>
  <c r="AI20" i="2"/>
  <c r="AH20" i="2"/>
  <c r="AG20" i="2"/>
  <c r="AS20" i="2" s="1"/>
  <c r="AS19" i="2"/>
  <c r="AS18" i="2"/>
  <c r="AS17" i="2"/>
  <c r="AS16" i="2"/>
  <c r="AS15" i="2"/>
  <c r="AS14" i="2"/>
  <c r="AS13" i="2"/>
  <c r="AS12" i="2"/>
  <c r="AS11" i="2"/>
  <c r="AS10" i="2"/>
  <c r="AS9" i="2"/>
  <c r="AP7" i="2"/>
  <c r="AP6" i="2" s="1"/>
  <c r="AL7" i="2"/>
  <c r="AL6" i="2" s="1"/>
  <c r="AH7" i="2"/>
  <c r="AH6" i="2" s="1"/>
  <c r="T41" i="2"/>
  <c r="U41" i="2"/>
  <c r="V41" i="2"/>
  <c r="W41" i="2"/>
  <c r="X41" i="2"/>
  <c r="Y41" i="2"/>
  <c r="Z41" i="2"/>
  <c r="AA41" i="2"/>
  <c r="AB41" i="2"/>
  <c r="AC41" i="2"/>
  <c r="AD41" i="2"/>
  <c r="T20" i="2"/>
  <c r="U20" i="2"/>
  <c r="V20" i="2"/>
  <c r="AE20" i="2" s="1"/>
  <c r="W20" i="2"/>
  <c r="X20" i="2"/>
  <c r="Y20" i="2"/>
  <c r="Z20" i="2"/>
  <c r="AA20" i="2"/>
  <c r="AB20" i="2"/>
  <c r="AC20" i="2"/>
  <c r="AD20" i="2"/>
  <c r="S20" i="2"/>
  <c r="AE11" i="2"/>
  <c r="AE12" i="2"/>
  <c r="AE13" i="2"/>
  <c r="AE14" i="2"/>
  <c r="AE15" i="2"/>
  <c r="AE16" i="2"/>
  <c r="AE17" i="2"/>
  <c r="AE18" i="2"/>
  <c r="AE19" i="2"/>
  <c r="AE10" i="2"/>
  <c r="T55" i="2"/>
  <c r="U55" i="2"/>
  <c r="V55" i="2"/>
  <c r="W55" i="2"/>
  <c r="X55" i="2"/>
  <c r="Y55" i="2"/>
  <c r="Z55" i="2"/>
  <c r="AA55" i="2"/>
  <c r="AB55" i="2"/>
  <c r="AC55" i="2"/>
  <c r="AD55" i="2"/>
  <c r="S55" i="2"/>
  <c r="AE54" i="2"/>
  <c r="AE53" i="2"/>
  <c r="AE52" i="2"/>
  <c r="AE51" i="2"/>
  <c r="AE50" i="2"/>
  <c r="AE49" i="2"/>
  <c r="AE48" i="2"/>
  <c r="AE43" i="2"/>
  <c r="AC7" i="2"/>
  <c r="AC6" i="2" s="1"/>
  <c r="Y7" i="2"/>
  <c r="Y6" i="2" s="1"/>
  <c r="U7" i="2"/>
  <c r="U6" i="2" s="1"/>
  <c r="S41" i="2"/>
  <c r="AE40" i="2"/>
  <c r="AE39" i="2"/>
  <c r="AE38" i="2"/>
  <c r="AE37" i="2"/>
  <c r="AE36" i="2"/>
  <c r="AE35" i="2"/>
  <c r="AE34" i="2"/>
  <c r="AE33" i="2"/>
  <c r="AE32" i="2"/>
  <c r="AE31" i="2"/>
  <c r="AE30" i="2"/>
  <c r="AE29" i="2"/>
  <c r="AE28" i="2"/>
  <c r="AE27" i="2"/>
  <c r="AE26" i="2"/>
  <c r="AE22" i="2"/>
  <c r="AE9" i="2"/>
  <c r="F7" i="2"/>
  <c r="G7" i="2"/>
  <c r="H7" i="2"/>
  <c r="H6" i="2" s="1"/>
  <c r="I7" i="2"/>
  <c r="I6" i="2" s="1"/>
  <c r="J7" i="2"/>
  <c r="K7" i="2"/>
  <c r="M7" i="2"/>
  <c r="M6" i="2" s="1"/>
  <c r="N7" i="2"/>
  <c r="O7" i="2"/>
  <c r="P7" i="2"/>
  <c r="E7" i="2"/>
  <c r="E6" i="2" s="1"/>
  <c r="Q50" i="2"/>
  <c r="Q51" i="2"/>
  <c r="Q52" i="2"/>
  <c r="Q53" i="2"/>
  <c r="Q54" i="2"/>
  <c r="Q55" i="2"/>
  <c r="Q49" i="2"/>
  <c r="F55" i="2"/>
  <c r="G55" i="2"/>
  <c r="H55" i="2"/>
  <c r="I55" i="2"/>
  <c r="J55" i="2"/>
  <c r="K55" i="2"/>
  <c r="L55" i="2"/>
  <c r="M55" i="2"/>
  <c r="N55" i="2"/>
  <c r="O55" i="2"/>
  <c r="P55" i="2"/>
  <c r="E55" i="2"/>
  <c r="F41" i="2"/>
  <c r="G41" i="2"/>
  <c r="H41" i="2"/>
  <c r="I41" i="2"/>
  <c r="J41" i="2"/>
  <c r="K41" i="2"/>
  <c r="L41" i="2"/>
  <c r="L6" i="2" s="1"/>
  <c r="M41" i="2"/>
  <c r="N41" i="2"/>
  <c r="O41" i="2"/>
  <c r="P41" i="2"/>
  <c r="E41" i="2"/>
  <c r="Q39" i="2"/>
  <c r="Q40" i="2"/>
  <c r="Q36" i="2"/>
  <c r="Q37" i="2"/>
  <c r="Q38" i="2"/>
  <c r="Q35" i="2"/>
  <c r="Q27" i="2"/>
  <c r="Q28" i="2"/>
  <c r="Q29" i="2"/>
  <c r="Q30" i="2"/>
  <c r="Q31" i="2"/>
  <c r="Q32" i="2"/>
  <c r="Q33" i="2"/>
  <c r="Q34" i="2"/>
  <c r="Q26" i="2"/>
  <c r="Q12" i="2"/>
  <c r="Q11" i="2"/>
  <c r="Q10" i="2"/>
  <c r="I20" i="2"/>
  <c r="J20" i="2"/>
  <c r="K20" i="2"/>
  <c r="L20" i="2"/>
  <c r="M20" i="2"/>
  <c r="N20" i="2"/>
  <c r="O20" i="2"/>
  <c r="P20" i="2"/>
  <c r="H20" i="2"/>
  <c r="G20" i="2"/>
  <c r="F20" i="2"/>
  <c r="E20" i="2"/>
  <c r="P6" i="2"/>
  <c r="O6" i="2"/>
  <c r="N6" i="2"/>
  <c r="K6" i="2"/>
  <c r="J6" i="2"/>
  <c r="F6" i="2"/>
  <c r="G6" i="2"/>
  <c r="Q48" i="2"/>
  <c r="Q43" i="2"/>
  <c r="Q22" i="2"/>
  <c r="Q9" i="2"/>
  <c r="E5" i="2"/>
  <c r="M22" i="2" s="1"/>
  <c r="R22" i="4"/>
  <c r="R20" i="4"/>
  <c r="R36" i="4"/>
  <c r="R35" i="4"/>
  <c r="R33" i="4"/>
  <c r="R15" i="4"/>
  <c r="P20" i="4"/>
  <c r="P15" i="4"/>
  <c r="R23" i="4"/>
  <c r="R27" i="4"/>
  <c r="R16" i="4"/>
  <c r="P23" i="4"/>
  <c r="R25" i="4"/>
  <c r="R14" i="4"/>
  <c r="R32" i="4"/>
  <c r="R21" i="4"/>
  <c r="P14" i="4"/>
  <c r="R28" i="4"/>
  <c r="P25" i="4"/>
  <c r="R34" i="4"/>
  <c r="P22" i="4"/>
  <c r="R26" i="4"/>
  <c r="P34" i="4"/>
  <c r="P32" i="4"/>
  <c r="R24" i="4"/>
  <c r="G55" i="5" l="1"/>
  <c r="G57" i="5"/>
  <c r="E10" i="5"/>
  <c r="AJ17" i="4"/>
  <c r="F41" i="5"/>
  <c r="AJ23" i="4" s="1"/>
  <c r="S32" i="4"/>
  <c r="S20" i="4"/>
  <c r="S25" i="4"/>
  <c r="S23" i="4"/>
  <c r="S15" i="4"/>
  <c r="S34" i="4"/>
  <c r="S22" i="4"/>
  <c r="S14" i="4"/>
  <c r="S33" i="4"/>
  <c r="S21" i="4"/>
  <c r="S36" i="4"/>
  <c r="S28" i="4"/>
  <c r="S24" i="4"/>
  <c r="S16" i="4"/>
  <c r="S35" i="4"/>
  <c r="S27" i="4"/>
  <c r="S26" i="4"/>
  <c r="C14" i="4"/>
  <c r="J14" i="4" s="1" a="1"/>
  <c r="J14" i="4" s="1"/>
  <c r="J13" i="4" a="1"/>
  <c r="J13" i="4" s="1"/>
  <c r="Y13" i="4" s="1"/>
  <c r="AF11" i="4"/>
  <c r="E13" i="5"/>
  <c r="E14" i="5" s="1"/>
  <c r="S5" i="2"/>
  <c r="AB9" i="2" s="1"/>
  <c r="BG41" i="2"/>
  <c r="BG7" i="2" s="1"/>
  <c r="BG6" i="2" s="1"/>
  <c r="AS41" i="2"/>
  <c r="AS7" i="2" s="1"/>
  <c r="AS6" i="2" s="1"/>
  <c r="AA7" i="2"/>
  <c r="AA6" i="2" s="1"/>
  <c r="AE41" i="2"/>
  <c r="AD7" i="2"/>
  <c r="AD6" i="2" s="1"/>
  <c r="W7" i="2"/>
  <c r="W6" i="2" s="1"/>
  <c r="AE55" i="2"/>
  <c r="AB7" i="2"/>
  <c r="AB6" i="2" s="1"/>
  <c r="Z7" i="2"/>
  <c r="Z6" i="2" s="1"/>
  <c r="X7" i="2"/>
  <c r="X6" i="2" s="1"/>
  <c r="V7" i="2"/>
  <c r="V6" i="2" s="1"/>
  <c r="T7" i="2"/>
  <c r="T6" i="2" s="1"/>
  <c r="AA22" i="2"/>
  <c r="U9" i="2"/>
  <c r="T22" i="2"/>
  <c r="X22" i="2"/>
  <c r="S43" i="2"/>
  <c r="AA43" i="2"/>
  <c r="Z48" i="2"/>
  <c r="AD48" i="2"/>
  <c r="S7" i="2"/>
  <c r="S6" i="2" s="1"/>
  <c r="Z9" i="2"/>
  <c r="AD9" i="2"/>
  <c r="U22" i="2"/>
  <c r="T43" i="2"/>
  <c r="X43" i="2"/>
  <c r="S48" i="2"/>
  <c r="AA48" i="2"/>
  <c r="W9" i="2"/>
  <c r="AA9" i="2"/>
  <c r="U43" i="2"/>
  <c r="Y43" i="2"/>
  <c r="AC43" i="2"/>
  <c r="AB48" i="2"/>
  <c r="V43" i="2"/>
  <c r="AD43" i="2"/>
  <c r="Y48" i="2"/>
  <c r="Q41" i="2"/>
  <c r="Q6" i="2" s="1"/>
  <c r="E48" i="2"/>
  <c r="N48" i="2"/>
  <c r="J48" i="2"/>
  <c r="K48" i="2"/>
  <c r="F48" i="2"/>
  <c r="H48" i="2"/>
  <c r="L48" i="2"/>
  <c r="P48" i="2"/>
  <c r="G48" i="2"/>
  <c r="O48" i="2"/>
  <c r="I48" i="2"/>
  <c r="M48" i="2"/>
  <c r="Q20" i="2"/>
  <c r="F43" i="2"/>
  <c r="N43" i="2"/>
  <c r="G43" i="2"/>
  <c r="K43" i="2"/>
  <c r="O43" i="2"/>
  <c r="P43" i="2"/>
  <c r="J43" i="2"/>
  <c r="H43" i="2"/>
  <c r="L43" i="2"/>
  <c r="E43" i="2"/>
  <c r="I43" i="2"/>
  <c r="M43" i="2"/>
  <c r="N22" i="2"/>
  <c r="F9" i="2"/>
  <c r="J9" i="2"/>
  <c r="N9" i="2"/>
  <c r="E22" i="2"/>
  <c r="I22" i="2"/>
  <c r="G9" i="2"/>
  <c r="K9" i="2"/>
  <c r="O9" i="2"/>
  <c r="F22" i="2"/>
  <c r="J22" i="2"/>
  <c r="K22" i="2"/>
  <c r="O22" i="2"/>
  <c r="H9" i="2"/>
  <c r="L9" i="2"/>
  <c r="P9" i="2"/>
  <c r="G22" i="2"/>
  <c r="E9" i="2"/>
  <c r="I9" i="2"/>
  <c r="M9" i="2"/>
  <c r="H22" i="2"/>
  <c r="L22" i="2"/>
  <c r="P22" i="2"/>
  <c r="U14" i="4"/>
  <c r="U27" i="4"/>
  <c r="U16" i="4"/>
  <c r="U26" i="4"/>
  <c r="U24" i="4"/>
  <c r="U32" i="4"/>
  <c r="U21" i="4"/>
  <c r="U23" i="4"/>
  <c r="U15" i="4"/>
  <c r="U33" i="4"/>
  <c r="U20" i="4"/>
  <c r="U28" i="4"/>
  <c r="U34" i="4"/>
  <c r="U25" i="4"/>
  <c r="U22" i="4"/>
  <c r="U36" i="4"/>
  <c r="U35" i="4"/>
  <c r="C15" i="4" l="1"/>
  <c r="C16" i="4" s="1"/>
  <c r="W22" i="2"/>
  <c r="T9" i="2"/>
  <c r="U48" i="2"/>
  <c r="X48" i="2"/>
  <c r="V22" i="2"/>
  <c r="W48" i="2"/>
  <c r="AC22" i="2"/>
  <c r="W43" i="2"/>
  <c r="AC9" i="2"/>
  <c r="X9" i="2"/>
  <c r="Z43" i="2"/>
  <c r="T48" i="2"/>
  <c r="AD22" i="2"/>
  <c r="S9" i="2"/>
  <c r="AB43" i="2"/>
  <c r="Y22" i="2"/>
  <c r="V9" i="2"/>
  <c r="V48" i="2"/>
  <c r="AB22" i="2"/>
  <c r="Y9" i="2"/>
  <c r="AG5" i="2"/>
  <c r="AC48" i="2"/>
  <c r="AE7" i="2"/>
  <c r="AE6" i="2" s="1"/>
  <c r="W34" i="4"/>
  <c r="W24" i="4"/>
  <c r="W14" i="4"/>
  <c r="W26" i="4"/>
  <c r="W35" i="4"/>
  <c r="W25" i="4"/>
  <c r="W27" i="4"/>
  <c r="W22" i="4"/>
  <c r="W32" i="4"/>
  <c r="W21" i="4"/>
  <c r="W20" i="4"/>
  <c r="W23" i="4"/>
  <c r="W36" i="4"/>
  <c r="W28" i="4"/>
  <c r="W16" i="4"/>
  <c r="W33" i="4"/>
  <c r="W15" i="4"/>
  <c r="X22" i="4" l="1"/>
  <c r="X14" i="4"/>
  <c r="X15" i="4"/>
  <c r="X20" i="4"/>
  <c r="X36" i="4"/>
  <c r="X28" i="4"/>
  <c r="X33" i="4"/>
  <c r="X34" i="4"/>
  <c r="X35" i="4"/>
  <c r="X27" i="4"/>
  <c r="X24" i="4"/>
  <c r="X21" i="4"/>
  <c r="X25" i="4"/>
  <c r="X23" i="4"/>
  <c r="X32" i="4"/>
  <c r="X26" i="4"/>
  <c r="X16" i="4"/>
  <c r="AR48" i="2"/>
  <c r="AG48" i="2"/>
  <c r="AH43" i="2"/>
  <c r="AK9" i="2"/>
  <c r="AQ22" i="2"/>
  <c r="AG9" i="2"/>
  <c r="AU5" i="2"/>
  <c r="AO48" i="2"/>
  <c r="AP43" i="2"/>
  <c r="AL22" i="2"/>
  <c r="AK48" i="2"/>
  <c r="AL43" i="2"/>
  <c r="AH22" i="2"/>
  <c r="AO9" i="2"/>
  <c r="AH9" i="2"/>
  <c r="AM22" i="2"/>
  <c r="AQ43" i="2"/>
  <c r="AI9" i="2"/>
  <c r="AO22" i="2"/>
  <c r="AR43" i="2"/>
  <c r="AJ9" i="2"/>
  <c r="AP22" i="2"/>
  <c r="AJ48" i="2"/>
  <c r="AJ22" i="2"/>
  <c r="AK22" i="2"/>
  <c r="AL9" i="2"/>
  <c r="AR22" i="2"/>
  <c r="AH48" i="2"/>
  <c r="AM9" i="2"/>
  <c r="AI48" i="2"/>
  <c r="AN9" i="2"/>
  <c r="AG43" i="2"/>
  <c r="AN48" i="2"/>
  <c r="AP9" i="2"/>
  <c r="AI43" i="2"/>
  <c r="AL48" i="2"/>
  <c r="AQ9" i="2"/>
  <c r="AJ43" i="2"/>
  <c r="AM48" i="2"/>
  <c r="AR9" i="2"/>
  <c r="AK43" i="2"/>
  <c r="AI22" i="2"/>
  <c r="AM43" i="2"/>
  <c r="AP48" i="2"/>
  <c r="AN43" i="2"/>
  <c r="AQ48" i="2"/>
  <c r="AO43" i="2"/>
  <c r="AA14" i="4" l="1"/>
  <c r="AA15" i="4"/>
  <c r="AA16" i="4"/>
  <c r="AA28" i="4"/>
  <c r="AA17" i="4"/>
  <c r="AA29" i="4"/>
  <c r="AA37" i="4"/>
  <c r="Z14" i="4"/>
  <c r="Z15" i="4"/>
  <c r="Y14" i="4"/>
  <c r="Y15" i="4"/>
  <c r="Y19" i="4"/>
  <c r="Y16" i="4"/>
  <c r="Y17" i="4"/>
  <c r="Y29" i="4"/>
  <c r="Y37" i="4"/>
  <c r="Y31" i="4"/>
  <c r="Y28" i="4"/>
  <c r="BF48" i="2"/>
  <c r="AY48" i="2"/>
  <c r="BF43" i="2"/>
  <c r="AX43" i="2"/>
  <c r="AZ22" i="2"/>
  <c r="BA9" i="2"/>
  <c r="BE48" i="2"/>
  <c r="AW48" i="2"/>
  <c r="BD43" i="2"/>
  <c r="AV43" i="2"/>
  <c r="AX22" i="2"/>
  <c r="AY9" i="2"/>
  <c r="BC48" i="2"/>
  <c r="AU48" i="2"/>
  <c r="BB43" i="2"/>
  <c r="BE22" i="2"/>
  <c r="AV22" i="2"/>
  <c r="BE9" i="2"/>
  <c r="AW9" i="2"/>
  <c r="BA48" i="2"/>
  <c r="AZ43" i="2"/>
  <c r="BC22" i="2"/>
  <c r="BC9" i="2"/>
  <c r="AU9" i="2"/>
  <c r="AW22" i="2"/>
  <c r="BA43" i="2"/>
  <c r="BD48" i="2"/>
  <c r="BF9" i="2"/>
  <c r="AY43" i="2"/>
  <c r="AU43" i="2"/>
  <c r="AV9" i="2"/>
  <c r="BA22" i="2"/>
  <c r="BE43" i="2"/>
  <c r="AY22" i="2"/>
  <c r="BC43" i="2"/>
  <c r="BD9" i="2"/>
  <c r="AZ9" i="2"/>
  <c r="BF22" i="2"/>
  <c r="AV48" i="2"/>
  <c r="AX9" i="2"/>
  <c r="BD22" i="2"/>
  <c r="AX48" i="2"/>
  <c r="AW43" i="2"/>
  <c r="AZ48" i="2"/>
  <c r="BB9" i="2"/>
  <c r="BB48" i="2"/>
  <c r="Z17" i="4" l="1"/>
  <c r="AB17" i="4" s="1"/>
  <c r="AD37" i="4"/>
  <c r="AD15" i="4"/>
  <c r="AD14" i="4"/>
  <c r="AC37" i="4"/>
  <c r="AC29" i="4"/>
  <c r="AC15" i="4"/>
  <c r="AC14" i="4"/>
  <c r="AB14" i="4"/>
  <c r="AB37" i="4"/>
  <c r="AB29" i="4"/>
  <c r="AB15" i="4"/>
  <c r="C20" i="4"/>
  <c r="AC17" i="4" l="1"/>
  <c r="AD17" i="4"/>
  <c r="AA20" i="4"/>
  <c r="Z20" i="4"/>
  <c r="Y20" i="4"/>
  <c r="C21" i="4"/>
  <c r="AB20" i="4" l="1"/>
  <c r="AD20" i="4"/>
  <c r="AC20" i="4"/>
  <c r="AA21" i="4"/>
  <c r="Y21" i="4"/>
  <c r="C22" i="4"/>
  <c r="AD21" i="4" l="1"/>
  <c r="AC21" i="4"/>
  <c r="AB21" i="4"/>
  <c r="AA22" i="4"/>
  <c r="Y22" i="4"/>
  <c r="C23" i="4"/>
  <c r="AD22" i="4" l="1"/>
  <c r="AC22" i="4"/>
  <c r="AB22" i="4"/>
  <c r="AA23" i="4"/>
  <c r="Y23" i="4"/>
  <c r="C24" i="4"/>
  <c r="AD23" i="4" l="1"/>
  <c r="AC23" i="4"/>
  <c r="AB23" i="4"/>
  <c r="AA24" i="4"/>
  <c r="Y24" i="4"/>
  <c r="C25" i="4"/>
  <c r="Y25" i="4" l="1"/>
  <c r="AA25" i="4"/>
  <c r="C26" i="4"/>
  <c r="Y26" i="4" l="1"/>
  <c r="AA26" i="4"/>
  <c r="C27" i="4"/>
  <c r="Y27" i="4" l="1"/>
  <c r="AA27" i="4"/>
  <c r="C32" i="4"/>
  <c r="Y32" i="4" l="1"/>
  <c r="AA32" i="4"/>
  <c r="C33" i="4"/>
  <c r="AD32" i="4" l="1"/>
  <c r="AC32" i="4"/>
  <c r="AB32" i="4"/>
  <c r="AA33" i="4"/>
  <c r="Y33" i="4"/>
  <c r="C34" i="4"/>
  <c r="AD33" i="4" l="1"/>
  <c r="AB33" i="4"/>
  <c r="AC33" i="4"/>
  <c r="Y34" i="4"/>
  <c r="AA34" i="4"/>
  <c r="C35" i="4"/>
  <c r="Y35" i="4" l="1"/>
  <c r="AA35" i="4"/>
  <c r="C36" i="4"/>
  <c r="AA36" i="4" l="1"/>
  <c r="Y3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<sst xmlns="http://schemas.openxmlformats.org/spreadsheetml/2006/main" count="483" uniqueCount="129">
  <si>
    <t>GENERAL</t>
  </si>
  <si>
    <t>BUDGET PLANNING</t>
  </si>
  <si>
    <t>Define starting year in settings</t>
  </si>
  <si>
    <t>INCOME</t>
  </si>
  <si>
    <t>ENTER INCOME CATEGORY….</t>
  </si>
  <si>
    <t>TOTAL</t>
  </si>
  <si>
    <t>EMPLOYMENT(NET)</t>
  </si>
  <si>
    <t>SIDE HUSTLE(NET)</t>
  </si>
  <si>
    <t>DIVIDENDS</t>
  </si>
  <si>
    <t>EXPENSES</t>
  </si>
  <si>
    <t>HOUSING</t>
  </si>
  <si>
    <t>UTILITIES</t>
  </si>
  <si>
    <t>GROCERIES</t>
  </si>
  <si>
    <t>SAVINGS</t>
  </si>
  <si>
    <t>TO BE ALLOCATED:-</t>
  </si>
  <si>
    <t>UTITLITIES</t>
  </si>
  <si>
    <t>TRANSPORTATION</t>
  </si>
  <si>
    <t>INSURANCES</t>
  </si>
  <si>
    <t>CLOTHING</t>
  </si>
  <si>
    <t>BODY CARE AND MEDICINE</t>
  </si>
  <si>
    <t>MEDIA</t>
  </si>
  <si>
    <t>FUN And VACATION</t>
  </si>
  <si>
    <t>EMERGENCY FUND</t>
  </si>
  <si>
    <t>RETIREMENT ACCOUNT</t>
  </si>
  <si>
    <t>STOCK PORTFOLIO</t>
  </si>
  <si>
    <t>SINKING FUND DOWN PAYMENT</t>
  </si>
  <si>
    <t>SINKING FUND REST</t>
  </si>
  <si>
    <t>Jan</t>
  </si>
  <si>
    <t>Aug</t>
  </si>
  <si>
    <t>BUDGET TRACKING</t>
  </si>
  <si>
    <t>Date</t>
  </si>
  <si>
    <t>Type</t>
  </si>
  <si>
    <t>Category</t>
  </si>
  <si>
    <t>Amount</t>
  </si>
  <si>
    <t>Details</t>
  </si>
  <si>
    <t>Employment (NET)</t>
  </si>
  <si>
    <t>BALANCE</t>
  </si>
  <si>
    <t>EFFECTIVE DATE</t>
  </si>
  <si>
    <t>BUDGET TRACKING &amp; DASHBOARD</t>
  </si>
  <si>
    <t>STARTING YEAR:-</t>
  </si>
  <si>
    <t>LATE MONTHLY INCOME</t>
  </si>
  <si>
    <t>SHIFT LATE INCOME:</t>
  </si>
  <si>
    <t>Active</t>
  </si>
  <si>
    <t>STARTING ON DAY X IN MONTH:</t>
  </si>
  <si>
    <t>Set the starting year(yyyy)once at the beginning and do not change it again.</t>
  </si>
  <si>
    <t>Activate this option to treat late income received on or after a certain day of the month as income for the next month.This is especially recommended in case you receive your monthly paycheck towards the end of the month and prefer to consider this income as the disposable income for the next month.</t>
  </si>
  <si>
    <t>CALCUALTIONS</t>
  </si>
  <si>
    <t>Worksheet: Budget Tracking</t>
  </si>
  <si>
    <t>Today:-</t>
  </si>
  <si>
    <t>Last Record:-</t>
  </si>
  <si>
    <t>Delta Last Record:-</t>
  </si>
  <si>
    <t>#Records:-</t>
  </si>
  <si>
    <t>#Records this year:-</t>
  </si>
  <si>
    <t>TRACKING BALANCE:-</t>
  </si>
  <si>
    <t xml:space="preserve"> BALANCE ANALYSIS TEXT:-</t>
  </si>
  <si>
    <t>BUDGET DASHBOARD</t>
  </si>
  <si>
    <t>Worksheet: Budget Dashboard</t>
  </si>
  <si>
    <t>Selected Year:-</t>
  </si>
  <si>
    <t>Selected Period:-</t>
  </si>
  <si>
    <t>Selected Period (Display):-</t>
  </si>
  <si>
    <t>row_id</t>
  </si>
  <si>
    <t>header_row_id</t>
  </si>
  <si>
    <t>is_header</t>
  </si>
  <si>
    <t>is_cat</t>
  </si>
  <si>
    <t>is_total</t>
  </si>
  <si>
    <t>is_empty</t>
  </si>
  <si>
    <t>type</t>
  </si>
  <si>
    <t>item</t>
  </si>
  <si>
    <t>tracked</t>
  </si>
  <si>
    <t>budget</t>
  </si>
  <si>
    <t>BODY CARE &amp; MEDICINE</t>
  </si>
  <si>
    <t>FUN &amp; VACATION</t>
  </si>
  <si>
    <t>-</t>
  </si>
  <si>
    <t>sort_min_row</t>
  </si>
  <si>
    <t>sort_max_row</t>
  </si>
  <si>
    <t>tracked_range</t>
  </si>
  <si>
    <t>tracked_rank</t>
  </si>
  <si>
    <t>budget_range</t>
  </si>
  <si>
    <t>budget_rank</t>
  </si>
  <si>
    <t>comb_rank</t>
  </si>
  <si>
    <t>comb_rank_range</t>
  </si>
  <si>
    <t>comb_rank_norm</t>
  </si>
  <si>
    <t>comb_rank_norm_run_range</t>
  </si>
  <si>
    <t>comb_rank_unique</t>
  </si>
  <si>
    <t>sorted_row_id[Lookup]</t>
  </si>
  <si>
    <r>
      <rPr>
        <b/>
        <sz val="12"/>
        <color rgb="FF0070C0"/>
        <rFont val="Calibri"/>
        <family val="2"/>
        <scheme val="minor"/>
      </rPr>
      <t>Chart Calculation</t>
    </r>
    <r>
      <rPr>
        <b/>
        <sz val="12"/>
        <color rgb="FF00B0F0"/>
        <rFont val="Calibri"/>
        <family val="2"/>
        <scheme val="minor"/>
      </rPr>
      <t>s</t>
    </r>
    <r>
      <rPr>
        <sz val="12"/>
        <color rgb="FF00B0F0"/>
        <rFont val="Calibri"/>
        <family val="2"/>
        <scheme val="minor"/>
      </rPr>
      <t>: Category Distribution Charts</t>
    </r>
  </si>
  <si>
    <t>CATEGORY</t>
  </si>
  <si>
    <t>AMOUNT</t>
  </si>
  <si>
    <t>Other</t>
  </si>
  <si>
    <t>Employment(Net)</t>
  </si>
  <si>
    <t>Side Hustle(Net)</t>
  </si>
  <si>
    <t>Dividends</t>
  </si>
  <si>
    <t>Housing</t>
  </si>
  <si>
    <t>Groceries</t>
  </si>
  <si>
    <t>Transportation</t>
  </si>
  <si>
    <t>Utilities</t>
  </si>
  <si>
    <t>Body Care &amp; Medicine</t>
  </si>
  <si>
    <t>Stock Portfolio</t>
  </si>
  <si>
    <t>Retirement Account</t>
  </si>
  <si>
    <t>Emergency Fund</t>
  </si>
  <si>
    <r>
      <rPr>
        <b/>
        <sz val="12"/>
        <color rgb="FF0070C0"/>
        <rFont val="Calibri"/>
        <family val="2"/>
        <scheme val="minor"/>
      </rPr>
      <t>Chart Calculation</t>
    </r>
    <r>
      <rPr>
        <b/>
        <sz val="12"/>
        <color rgb="FF00B0F0"/>
        <rFont val="Calibri"/>
        <family val="2"/>
        <scheme val="minor"/>
      </rPr>
      <t>s</t>
    </r>
    <r>
      <rPr>
        <sz val="12"/>
        <color rgb="FF00B0F0"/>
        <rFont val="Calibri"/>
        <family val="2"/>
        <scheme val="minor"/>
      </rPr>
      <t>: Tracked (Vs.Budget)</t>
    </r>
  </si>
  <si>
    <t>MONTH</t>
  </si>
  <si>
    <t>TYPE</t>
  </si>
  <si>
    <t>MONTH NUM</t>
  </si>
  <si>
    <t>IN FOCUS</t>
  </si>
  <si>
    <t>SHOW TYPE</t>
  </si>
  <si>
    <t>SHOW REM.BUDGET</t>
  </si>
  <si>
    <t>TRACKED</t>
  </si>
  <si>
    <t>BUDGET</t>
  </si>
  <si>
    <t>DELTA</t>
  </si>
  <si>
    <t>PERIOD IN FOCUS</t>
  </si>
  <si>
    <t>IN BUDGET</t>
  </si>
  <si>
    <t>REMAINING</t>
  </si>
  <si>
    <t>EXCESS</t>
  </si>
  <si>
    <t>PERIOD  NOT IN FOCUS</t>
  </si>
  <si>
    <t>Income</t>
  </si>
  <si>
    <t>Expenses</t>
  </si>
  <si>
    <t>Savings</t>
  </si>
  <si>
    <t>Sinking Fund Rest</t>
  </si>
  <si>
    <t>Sinking Fund Down Payment</t>
  </si>
  <si>
    <t>SHOW INCOME:</t>
  </si>
  <si>
    <t>SHOW EXPENSES:</t>
  </si>
  <si>
    <t>SHOW SAVINGS:</t>
  </si>
  <si>
    <t>SHOW REM.BUDGET:</t>
  </si>
  <si>
    <t>Days in period:-</t>
  </si>
  <si>
    <t>Days passed in period:-</t>
  </si>
  <si>
    <t>Days passed in period %:-</t>
  </si>
  <si>
    <t>March</t>
  </si>
  <si>
    <t>Period Tracking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</si>
</sst>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mmm"/>
    <numFmt numFmtId="165" formatCode="_ * #,##0_ ;_ * \-#,##0_ ;_ * &quot;-&quot;??_ ;_ @_ "/>
    <numFmt numFmtId="166" formatCode="d/mmm/yy"/>
    <numFmt numFmtId="167" formatCode="mmmm"/>
  </numFmts>
  <fonts count="3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i/>
      <sz val="9"/>
      <color theme="0" tint="-0.499984740745262"/>
      <name val="Calibri"/>
      <family val="2"/>
      <scheme val="minor"/>
    </font>
    <font>
      <sz val="10"/>
      <color theme="1"/>
      <name val="Calibri"/>
      <family val="2"/>
      <scheme val="minor"/>
    </font>
    <font>
      <i/>
      <sz val="10"/>
      <color theme="0" tint="-0.499984740745262"/>
      <name val="Calibri"/>
      <family val="2"/>
      <scheme val="minor"/>
    </font>
    <font>
      <b/>
      <sz val="18"/>
      <color theme="0"/>
      <name val="Calibri"/>
      <family val="2"/>
      <scheme val="minor"/>
    </font>
    <font>
      <b/>
      <sz val="18"/>
      <color theme="1"/>
      <name val="Calibri"/>
      <family val="2"/>
      <scheme val="minor"/>
    </font>
    <font>
      <sz val="10"/>
      <color theme="1" tint="0.499984740745262"/>
      <name val="Calibri"/>
      <family val="2"/>
      <scheme val="minor"/>
    </font>
    <font>
      <b/>
      <sz val="9"/>
      <color theme="1"/>
      <name val="Calibri"/>
      <family val="2"/>
      <scheme val="minor"/>
    </font>
    <font>
      <b/>
      <sz val="10"/>
      <color theme="1"/>
      <name val="Calibri"/>
      <family val="2"/>
      <scheme val="minor"/>
    </font>
    <font>
      <i/>
      <sz val="10"/>
      <color theme="1"/>
      <name val="Calibri"/>
      <family val="2"/>
      <scheme val="minor"/>
    </font>
    <font>
      <b/>
      <i/>
      <sz val="9"/>
      <color theme="1"/>
      <name val="Calibri"/>
      <family val="2"/>
      <scheme val="minor"/>
    </font>
    <font>
      <sz val="12"/>
      <color theme="1"/>
      <name val="Calibri"/>
      <family val="2"/>
      <scheme val="minor"/>
    </font>
    <font>
      <b/>
      <sz val="12"/>
      <color theme="1"/>
      <name val="Calibri"/>
      <family val="2"/>
      <scheme val="minor"/>
    </font>
    <font>
      <sz val="10"/>
      <color theme="0" tint="-0.499984740745262"/>
      <name val="Calibri"/>
      <family val="2"/>
      <scheme val="minor"/>
    </font>
    <font>
      <sz val="11"/>
      <color theme="0" tint="-0.499984740745262"/>
      <name val="Calibri"/>
      <family val="2"/>
      <scheme val="minor"/>
    </font>
    <font>
      <b/>
      <sz val="11"/>
      <color rgb="FF7030A0"/>
      <name val="Calibri"/>
      <family val="2"/>
      <scheme val="minor"/>
    </font>
    <font>
      <sz val="10"/>
      <color theme="0" tint="-0.249977111117893"/>
      <name val="Calibri"/>
      <family val="2"/>
      <scheme val="minor"/>
    </font>
    <font>
      <b/>
      <sz val="9"/>
      <color theme="0"/>
      <name val="Calibri"/>
      <family val="2"/>
      <scheme val="minor"/>
    </font>
    <font>
      <sz val="11"/>
      <color rgb="FF002060"/>
      <name val="Calibri"/>
      <family val="2"/>
      <scheme val="minor"/>
    </font>
    <font>
      <b/>
      <sz val="10"/>
      <color theme="0"/>
      <name val="Calibri"/>
      <family val="2"/>
      <scheme val="minor"/>
    </font>
    <font>
      <i/>
      <sz val="11"/>
      <color theme="0" tint="-0.499984740745262"/>
      <name val="Calibri"/>
      <family val="2"/>
      <scheme val="minor"/>
    </font>
    <font>
      <i/>
      <sz val="11"/>
      <color theme="1"/>
      <name val="Calibri"/>
      <family val="2"/>
      <scheme val="minor"/>
    </font>
    <font>
      <sz val="16"/>
      <color theme="1"/>
      <name val="Calibri"/>
      <family val="2"/>
      <scheme val="minor"/>
    </font>
    <font>
      <sz val="12"/>
      <color rgb="FF00B0F0"/>
      <name val="Calibri"/>
      <family val="2"/>
      <scheme val="minor"/>
    </font>
    <font>
      <sz val="11"/>
      <color rgb="FF00B0F0"/>
      <name val="Calibri"/>
      <family val="2"/>
      <scheme val="minor"/>
    </font>
    <font>
      <b/>
      <sz val="12"/>
      <color rgb="FF00B0F0"/>
      <name val="Calibri"/>
      <family val="2"/>
      <scheme val="minor"/>
    </font>
    <font>
      <b/>
      <sz val="12"/>
      <color rgb="FF0070C0"/>
      <name val="Calibri"/>
      <family val="2"/>
      <scheme val="minor"/>
    </font>
    <font>
      <sz val="8"/>
      <name val="Calibri"/>
      <family val="2"/>
      <scheme val="minor"/>
    </font>
    <font>
      <b/>
      <sz val="12"/>
      <color rgb="FF00B050"/>
      <name val="Calibri"/>
      <family val="2"/>
      <scheme val="minor"/>
    </font>
    <font>
      <sz val="11"/>
      <color theme="0" tint="-0.249977111117893"/>
      <name val="Calibri"/>
      <family val="2"/>
      <scheme val="minor"/>
    </font>
    <font>
      <sz val="8"/>
      <color rgb="FF000000"/>
      <name val="Segoe UI"/>
      <family val="2"/>
    </font>
  </fonts>
  <fills count="23">
    <fill>
      <patternFill patternType="none"/>
    </fill>
    <fill>
      <patternFill patternType="gray125"/>
    </fill>
    <fill>
      <patternFill patternType="solid">
        <fgColor theme="3"/>
        <bgColor indexed="64"/>
      </patternFill>
    </fill>
    <fill>
      <patternFill patternType="solid">
        <fgColor rgb="FF002060"/>
        <bgColor indexed="64"/>
      </patternFill>
    </fill>
    <fill>
      <patternFill patternType="solid">
        <fgColor rgb="FFFF99CC"/>
        <bgColor indexed="64"/>
      </patternFill>
    </fill>
    <fill>
      <patternFill patternType="solid">
        <fgColor theme="0"/>
        <bgColor indexed="64"/>
      </patternFill>
    </fill>
    <fill>
      <patternFill patternType="solid">
        <fgColor rgb="FF92D050"/>
        <bgColor indexed="64"/>
      </patternFill>
    </fill>
    <fill>
      <patternFill patternType="solid">
        <fgColor theme="9"/>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00B050"/>
        <bgColor indexed="64"/>
      </patternFill>
    </fill>
    <fill>
      <patternFill patternType="solid">
        <fgColor theme="4" tint="0.39997558519241921"/>
        <bgColor indexed="64"/>
      </patternFill>
    </fill>
    <fill>
      <patternFill patternType="solid">
        <fgColor rgb="FF00B0F0"/>
        <bgColor indexed="64"/>
      </patternFill>
    </fill>
    <fill>
      <patternFill patternType="solid">
        <fgColor rgb="FF3366FF"/>
        <bgColor indexed="64"/>
      </patternFill>
    </fill>
    <fill>
      <patternFill patternType="solid">
        <fgColor rgb="FFFF9900"/>
        <bgColor indexed="64"/>
      </patternFill>
    </fill>
    <fill>
      <patternFill patternType="solid">
        <fgColor theme="0" tint="-0.34998626667073579"/>
        <bgColor indexed="64"/>
      </patternFill>
    </fill>
    <fill>
      <patternFill patternType="solid">
        <fgColor rgb="FFCC00FF"/>
        <bgColor indexed="64"/>
      </patternFill>
    </fill>
    <fill>
      <patternFill patternType="solid">
        <fgColor rgb="FFFF00FF"/>
        <bgColor indexed="64"/>
      </patternFill>
    </fill>
    <fill>
      <patternFill patternType="solid">
        <fgColor rgb="FFFF6699"/>
        <bgColor indexed="64"/>
      </patternFill>
    </fill>
    <fill>
      <patternFill patternType="solid">
        <fgColor theme="1"/>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5D9CD5"/>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right/>
      <top/>
      <bottom style="dotted">
        <color theme="0" tint="-0.34998626667073579"/>
      </bottom>
      <diagonal/>
    </border>
    <border>
      <left style="thin">
        <color theme="1"/>
      </left>
      <right style="thin">
        <color theme="1"/>
      </right>
      <top/>
      <bottom/>
      <diagonal/>
    </border>
    <border>
      <left style="thin">
        <color theme="1"/>
      </left>
      <right/>
      <top/>
      <bottom/>
      <diagonal/>
    </border>
    <border>
      <left style="thin">
        <color indexed="64"/>
      </left>
      <right style="thin">
        <color indexed="64"/>
      </right>
      <top/>
      <bottom/>
      <diagonal/>
    </border>
    <border>
      <left style="thin">
        <color theme="1"/>
      </left>
      <right style="thin">
        <color theme="1"/>
      </right>
      <top/>
      <bottom style="thin">
        <color indexed="64"/>
      </bottom>
      <diagonal/>
    </border>
    <border>
      <left style="thin">
        <color theme="1"/>
      </left>
      <right/>
      <top/>
      <bottom style="thin">
        <color indexed="64"/>
      </bottom>
      <diagonal/>
    </border>
    <border>
      <left/>
      <right style="thin">
        <color theme="1"/>
      </right>
      <top/>
      <bottom/>
      <diagonal/>
    </border>
    <border>
      <left/>
      <right/>
      <top/>
      <bottom style="thin">
        <color theme="1"/>
      </bottom>
      <diagonal/>
    </border>
    <border>
      <left style="thin">
        <color theme="1"/>
      </left>
      <right style="thin">
        <color indexed="64"/>
      </right>
      <top/>
      <bottom style="thin">
        <color theme="1"/>
      </bottom>
      <diagonal/>
    </border>
    <border>
      <left style="thin">
        <color theme="1"/>
      </left>
      <right style="thin">
        <color indexed="64"/>
      </right>
      <top/>
      <bottom/>
      <diagonal/>
    </border>
    <border>
      <left style="thin">
        <color theme="1"/>
      </left>
      <right/>
      <top/>
      <bottom style="thin">
        <color theme="1"/>
      </bottom>
      <diagonal/>
    </border>
    <border>
      <left style="thin">
        <color indexed="64"/>
      </left>
      <right/>
      <top/>
      <bottom style="thin">
        <color theme="1"/>
      </bottom>
      <diagonal/>
    </border>
    <border>
      <left style="thin">
        <color indexed="64"/>
      </left>
      <right style="thin">
        <color indexed="64"/>
      </right>
      <top/>
      <bottom style="thin">
        <color theme="1"/>
      </bottom>
      <diagonal/>
    </border>
    <border>
      <left style="thin">
        <color theme="1"/>
      </left>
      <right style="thin">
        <color indexed="64"/>
      </right>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thin">
        <color theme="0" tint="-0.499984740745262"/>
      </top>
      <bottom style="thin">
        <color theme="0" tint="-0.499984740745262"/>
      </bottom>
      <diagonal/>
    </border>
    <border>
      <left/>
      <right/>
      <top style="dotted">
        <color auto="1"/>
      </top>
      <bottom style="double">
        <color auto="1"/>
      </bottom>
      <diagonal/>
    </border>
    <border>
      <left/>
      <right/>
      <top style="hair">
        <color auto="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20">
    <xf numFmtId="0" fontId="0" fillId="0" borderId="0" xfId="0"/>
    <xf numFmtId="0" fontId="6" fillId="0" borderId="0" xfId="0" applyFont="1"/>
    <xf numFmtId="0" fontId="7" fillId="6" borderId="1" xfId="0" applyFont="1" applyFill="1" applyBorder="1" applyAlignment="1">
      <alignment horizontal="left" indent="1"/>
    </xf>
    <xf numFmtId="0" fontId="7" fillId="0" borderId="1" xfId="0" applyFont="1" applyBorder="1" applyAlignment="1">
      <alignment horizontal="left" indent="1"/>
    </xf>
    <xf numFmtId="0" fontId="3" fillId="5" borderId="1" xfId="0" applyFont="1" applyFill="1" applyBorder="1" applyAlignment="1">
      <alignment horizontal="left" indent="1"/>
    </xf>
    <xf numFmtId="0" fontId="3" fillId="4" borderId="0" xfId="0" applyFont="1" applyFill="1" applyAlignment="1">
      <alignment horizontal="left" indent="1"/>
    </xf>
    <xf numFmtId="164" fontId="4" fillId="4" borderId="1" xfId="0" applyNumberFormat="1" applyFont="1" applyFill="1" applyBorder="1"/>
    <xf numFmtId="165" fontId="5" fillId="6" borderId="1" xfId="1" applyNumberFormat="1" applyFont="1" applyFill="1" applyBorder="1"/>
    <xf numFmtId="165" fontId="12" fillId="6" borderId="1" xfId="1" applyNumberFormat="1" applyFont="1" applyFill="1" applyBorder="1"/>
    <xf numFmtId="165" fontId="5" fillId="0" borderId="1" xfId="1" applyNumberFormat="1" applyFont="1" applyBorder="1"/>
    <xf numFmtId="165" fontId="12" fillId="0" borderId="1" xfId="1" applyNumberFormat="1" applyFont="1" applyBorder="1"/>
    <xf numFmtId="165" fontId="5" fillId="7" borderId="1" xfId="1" applyNumberFormat="1" applyFont="1" applyFill="1" applyBorder="1"/>
    <xf numFmtId="165" fontId="12" fillId="7" borderId="1" xfId="1" applyNumberFormat="1" applyFont="1" applyFill="1" applyBorder="1"/>
    <xf numFmtId="0" fontId="7" fillId="6" borderId="2" xfId="0" applyFont="1" applyFill="1" applyBorder="1" applyAlignment="1">
      <alignment horizontal="left" indent="1"/>
    </xf>
    <xf numFmtId="0" fontId="7" fillId="0" borderId="0" xfId="0" applyFont="1" applyAlignment="1">
      <alignment horizontal="left" indent="1"/>
    </xf>
    <xf numFmtId="0" fontId="13" fillId="0" borderId="1" xfId="0" applyFont="1" applyBorder="1" applyAlignment="1">
      <alignment horizontal="left" indent="1"/>
    </xf>
    <xf numFmtId="0" fontId="0" fillId="0" borderId="1" xfId="0" applyBorder="1"/>
    <xf numFmtId="0" fontId="7" fillId="0" borderId="0" xfId="0" applyFont="1"/>
    <xf numFmtId="0" fontId="14" fillId="5" borderId="1" xfId="0" applyFont="1" applyFill="1" applyBorder="1" applyAlignment="1">
      <alignment horizontal="left" indent="9"/>
    </xf>
    <xf numFmtId="0" fontId="11" fillId="0" borderId="1" xfId="0" applyFont="1" applyBorder="1" applyAlignment="1">
      <alignment horizontal="right" vertical="center"/>
    </xf>
    <xf numFmtId="0" fontId="3" fillId="4" borderId="1" xfId="0" applyFont="1" applyFill="1" applyBorder="1" applyAlignment="1">
      <alignment horizontal="left" indent="1"/>
    </xf>
    <xf numFmtId="0" fontId="15" fillId="0" borderId="1" xfId="0" applyFont="1" applyBorder="1" applyAlignment="1">
      <alignment horizontal="center" vertical="center"/>
    </xf>
    <xf numFmtId="165" fontId="0" fillId="0" borderId="1" xfId="0" applyNumberFormat="1" applyBorder="1"/>
    <xf numFmtId="165" fontId="16" fillId="6" borderId="1" xfId="1" applyNumberFormat="1" applyFont="1" applyFill="1" applyBorder="1"/>
    <xf numFmtId="165" fontId="17" fillId="0" borderId="1" xfId="1" applyNumberFormat="1" applyFont="1" applyBorder="1"/>
    <xf numFmtId="165" fontId="16" fillId="0" borderId="1" xfId="1" applyNumberFormat="1" applyFont="1" applyBorder="1"/>
    <xf numFmtId="165" fontId="17" fillId="6" borderId="1" xfId="1" applyNumberFormat="1" applyFont="1" applyFill="1" applyBorder="1"/>
    <xf numFmtId="164" fontId="4" fillId="6" borderId="1" xfId="0" applyNumberFormat="1" applyFont="1" applyFill="1" applyBorder="1"/>
    <xf numFmtId="0" fontId="0" fillId="5" borderId="0" xfId="0" applyFill="1"/>
    <xf numFmtId="0" fontId="16" fillId="6" borderId="1" xfId="0" applyFont="1" applyFill="1" applyBorder="1"/>
    <xf numFmtId="164" fontId="16" fillId="6" borderId="1" xfId="0" applyNumberFormat="1" applyFont="1" applyFill="1" applyBorder="1"/>
    <xf numFmtId="165" fontId="16" fillId="0" borderId="1" xfId="0" applyNumberFormat="1" applyFont="1" applyBorder="1"/>
    <xf numFmtId="165" fontId="17" fillId="5" borderId="1" xfId="1" applyNumberFormat="1" applyFont="1" applyFill="1" applyBorder="1"/>
    <xf numFmtId="0" fontId="0" fillId="6" borderId="1" xfId="0" applyFill="1" applyBorder="1"/>
    <xf numFmtId="0" fontId="7" fillId="6" borderId="1" xfId="0" applyFont="1" applyFill="1" applyBorder="1" applyAlignment="1">
      <alignment horizontal="center"/>
    </xf>
    <xf numFmtId="0" fontId="3" fillId="6" borderId="1" xfId="0" applyFont="1" applyFill="1" applyBorder="1" applyAlignment="1">
      <alignment horizontal="center"/>
    </xf>
    <xf numFmtId="0" fontId="16" fillId="6" borderId="1" xfId="0" applyFont="1" applyFill="1" applyBorder="1" applyAlignment="1">
      <alignment horizontal="left" indent="1"/>
    </xf>
    <xf numFmtId="0" fontId="16" fillId="6" borderId="1" xfId="0" applyFont="1" applyFill="1" applyBorder="1" applyAlignment="1">
      <alignment horizontal="right"/>
    </xf>
    <xf numFmtId="165" fontId="17" fillId="6" borderId="1" xfId="1" applyNumberFormat="1" applyFont="1" applyFill="1" applyBorder="1" applyAlignment="1">
      <alignment horizontal="right"/>
    </xf>
    <xf numFmtId="0" fontId="16" fillId="6" borderId="1" xfId="0" applyFont="1" applyFill="1" applyBorder="1" applyAlignment="1">
      <alignment horizontal="right" indent="1"/>
    </xf>
    <xf numFmtId="165" fontId="16" fillId="6" borderId="1" xfId="1" applyNumberFormat="1" applyFont="1" applyFill="1" applyBorder="1" applyAlignment="1">
      <alignment horizontal="right"/>
    </xf>
    <xf numFmtId="0" fontId="0" fillId="6" borderId="1" xfId="0" applyFill="1" applyBorder="1" applyAlignment="1">
      <alignment horizontal="right"/>
    </xf>
    <xf numFmtId="0" fontId="7" fillId="6" borderId="1" xfId="0" applyFont="1" applyFill="1" applyBorder="1" applyAlignment="1">
      <alignment horizontal="right" indent="1"/>
    </xf>
    <xf numFmtId="165" fontId="5" fillId="6" borderId="1" xfId="1" applyNumberFormat="1" applyFont="1" applyFill="1" applyBorder="1" applyAlignment="1">
      <alignment horizontal="right"/>
    </xf>
    <xf numFmtId="165" fontId="16" fillId="0" borderId="1" xfId="0" applyNumberFormat="1" applyFont="1" applyBorder="1" applyAlignment="1">
      <alignment horizontal="right"/>
    </xf>
    <xf numFmtId="164" fontId="16" fillId="6" borderId="1" xfId="0" applyNumberFormat="1" applyFont="1" applyFill="1" applyBorder="1" applyAlignment="1">
      <alignment horizontal="right"/>
    </xf>
    <xf numFmtId="164" fontId="4" fillId="6" borderId="1" xfId="0" applyNumberFormat="1" applyFont="1" applyFill="1" applyBorder="1" applyAlignment="1">
      <alignment horizontal="right"/>
    </xf>
    <xf numFmtId="0" fontId="16" fillId="6" borderId="1" xfId="1" applyNumberFormat="1" applyFont="1" applyFill="1" applyBorder="1"/>
    <xf numFmtId="0" fontId="16" fillId="6" borderId="1" xfId="1" applyNumberFormat="1" applyFont="1" applyFill="1" applyBorder="1" applyAlignment="1">
      <alignment horizontal="right"/>
    </xf>
    <xf numFmtId="0" fontId="0" fillId="0" borderId="0" xfId="0" applyAlignment="1">
      <alignment horizontal="left" vertical="center" indent="1"/>
    </xf>
    <xf numFmtId="0" fontId="7" fillId="0" borderId="0" xfId="0" applyFont="1" applyAlignment="1">
      <alignment horizontal="left" vertical="center" indent="1"/>
    </xf>
    <xf numFmtId="15" fontId="7" fillId="0" borderId="0" xfId="0" applyNumberFormat="1" applyFont="1" applyAlignment="1">
      <alignment horizontal="left" vertical="center" indent="1"/>
    </xf>
    <xf numFmtId="165" fontId="13" fillId="0" borderId="0" xfId="1" applyNumberFormat="1" applyFont="1" applyAlignment="1">
      <alignment horizontal="left" vertical="center" indent="1"/>
    </xf>
    <xf numFmtId="0" fontId="18" fillId="0" borderId="0" xfId="0" applyFont="1" applyAlignment="1">
      <alignment horizontal="left" vertical="center" indent="1"/>
    </xf>
    <xf numFmtId="0" fontId="19" fillId="5" borderId="0" xfId="0" applyFont="1" applyFill="1" applyAlignment="1">
      <alignment horizontal="left" vertical="center" indent="1"/>
    </xf>
    <xf numFmtId="165" fontId="18" fillId="0" borderId="0" xfId="1" applyNumberFormat="1" applyFont="1" applyAlignment="1">
      <alignment horizontal="left" vertical="center" indent="1"/>
    </xf>
    <xf numFmtId="0" fontId="3" fillId="0" borderId="0" xfId="0" applyFont="1"/>
    <xf numFmtId="0" fontId="8" fillId="0" borderId="0" xfId="0" applyFont="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2" borderId="3" xfId="0" applyFont="1" applyFill="1" applyBorder="1" applyAlignment="1">
      <alignment vertical="center"/>
    </xf>
    <xf numFmtId="0" fontId="2" fillId="2" borderId="5" xfId="0" applyFont="1" applyFill="1" applyBorder="1" applyAlignment="1">
      <alignment vertical="center"/>
    </xf>
    <xf numFmtId="0" fontId="0" fillId="4" borderId="0" xfId="0" applyFill="1" applyAlignment="1">
      <alignment horizontal="center"/>
    </xf>
    <xf numFmtId="0" fontId="2" fillId="2" borderId="4" xfId="0" applyFont="1" applyFill="1" applyBorder="1" applyAlignment="1">
      <alignment horizontal="left" indent="49"/>
    </xf>
    <xf numFmtId="0" fontId="2" fillId="2" borderId="3" xfId="0" applyFont="1" applyFill="1" applyBorder="1" applyAlignment="1">
      <alignment horizontal="left" indent="49"/>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3" fillId="0" borderId="0" xfId="0" applyFont="1" applyAlignment="1">
      <alignment horizontal="left" indent="1"/>
    </xf>
    <xf numFmtId="0" fontId="20" fillId="0" borderId="0" xfId="0" applyFont="1" applyAlignment="1">
      <alignment horizontal="left" indent="1"/>
    </xf>
    <xf numFmtId="0" fontId="0" fillId="4" borderId="0" xfId="0" applyFill="1" applyAlignment="1">
      <alignment horizontal="left" indent="4"/>
    </xf>
    <xf numFmtId="166" fontId="21" fillId="0" borderId="0" xfId="0" applyNumberFormat="1" applyFont="1" applyAlignment="1">
      <alignment horizontal="right" vertical="center" indent="1"/>
    </xf>
    <xf numFmtId="0" fontId="3" fillId="0" borderId="1" xfId="0" applyFont="1" applyBorder="1"/>
    <xf numFmtId="166" fontId="0" fillId="0" borderId="1" xfId="0" applyNumberFormat="1" applyBorder="1"/>
    <xf numFmtId="165" fontId="0" fillId="0" borderId="1" xfId="1" applyNumberFormat="1" applyFont="1" applyBorder="1"/>
    <xf numFmtId="0" fontId="0" fillId="0" borderId="0" xfId="0" applyAlignment="1">
      <alignment horizontal="center"/>
    </xf>
    <xf numFmtId="0" fontId="0" fillId="0" borderId="19" xfId="0" applyBorder="1"/>
    <xf numFmtId="0" fontId="3" fillId="0" borderId="19" xfId="0" applyFont="1" applyBorder="1"/>
    <xf numFmtId="0" fontId="0" fillId="0" borderId="0" xfId="0" applyAlignment="1">
      <alignment horizontal="right"/>
    </xf>
    <xf numFmtId="0" fontId="0" fillId="0" borderId="20" xfId="0" applyBorder="1"/>
    <xf numFmtId="0" fontId="13" fillId="8" borderId="20" xfId="0" applyFont="1" applyFill="1" applyBorder="1" applyAlignment="1">
      <alignment horizontal="center" vertical="center"/>
    </xf>
    <xf numFmtId="165" fontId="0" fillId="0" borderId="0" xfId="0" applyNumberFormat="1"/>
    <xf numFmtId="0" fontId="13" fillId="8" borderId="0" xfId="0" applyFont="1" applyFill="1" applyAlignment="1">
      <alignment horizontal="center" vertical="center"/>
    </xf>
    <xf numFmtId="0" fontId="0" fillId="0" borderId="3" xfId="0" applyBorder="1"/>
    <xf numFmtId="0" fontId="16" fillId="0" borderId="20" xfId="0" applyFont="1" applyBorder="1"/>
    <xf numFmtId="1" fontId="16" fillId="0" borderId="20" xfId="1" applyNumberFormat="1" applyFont="1" applyBorder="1"/>
    <xf numFmtId="0" fontId="16" fillId="0" borderId="21" xfId="0" applyFont="1" applyBorder="1"/>
    <xf numFmtId="0" fontId="16" fillId="0" borderId="28" xfId="0" applyFont="1" applyBorder="1"/>
    <xf numFmtId="0" fontId="16" fillId="0" borderId="25" xfId="0" applyFont="1" applyBorder="1"/>
    <xf numFmtId="165" fontId="16" fillId="0" borderId="20" xfId="1" applyNumberFormat="1" applyFont="1" applyBorder="1"/>
    <xf numFmtId="165" fontId="16" fillId="0" borderId="21" xfId="1" applyNumberFormat="1" applyFont="1" applyBorder="1"/>
    <xf numFmtId="165" fontId="16" fillId="0" borderId="20" xfId="1" applyNumberFormat="1" applyFont="1" applyBorder="1" applyAlignment="1">
      <alignment horizontal="center"/>
    </xf>
    <xf numFmtId="165" fontId="16" fillId="0" borderId="22" xfId="1" applyNumberFormat="1" applyFont="1" applyBorder="1"/>
    <xf numFmtId="165" fontId="16" fillId="0" borderId="22" xfId="1" applyNumberFormat="1" applyFont="1" applyBorder="1" applyAlignment="1">
      <alignment horizontal="center"/>
    </xf>
    <xf numFmtId="0" fontId="16" fillId="0" borderId="0" xfId="0" applyFont="1"/>
    <xf numFmtId="0" fontId="16" fillId="0" borderId="23" xfId="0" applyFont="1" applyBorder="1"/>
    <xf numFmtId="0" fontId="16" fillId="0" borderId="27" xfId="0" applyFont="1" applyBorder="1"/>
    <xf numFmtId="0" fontId="16" fillId="0" borderId="26" xfId="0" applyFont="1" applyBorder="1"/>
    <xf numFmtId="0" fontId="16" fillId="0" borderId="24" xfId="0" applyFont="1" applyBorder="1"/>
    <xf numFmtId="0" fontId="16" fillId="0" borderId="8" xfId="0" applyFont="1" applyBorder="1"/>
    <xf numFmtId="0" fontId="16" fillId="0" borderId="29" xfId="0" applyFont="1" applyBorder="1"/>
    <xf numFmtId="0" fontId="16" fillId="0" borderId="30" xfId="0" applyFont="1" applyBorder="1"/>
    <xf numFmtId="0" fontId="0" fillId="0" borderId="31" xfId="0" applyBorder="1"/>
    <xf numFmtId="9" fontId="16" fillId="0" borderId="6" xfId="2" applyFont="1" applyBorder="1" applyAlignment="1">
      <alignment horizontal="center"/>
    </xf>
    <xf numFmtId="9" fontId="16" fillId="0" borderId="8" xfId="2" applyFont="1" applyBorder="1" applyAlignment="1">
      <alignment horizontal="center"/>
    </xf>
    <xf numFmtId="0" fontId="27" fillId="0" borderId="0" xfId="0" applyFont="1"/>
    <xf numFmtId="43" fontId="16" fillId="0" borderId="20" xfId="1" applyFont="1" applyBorder="1" applyAlignment="1">
      <alignment horizontal="center"/>
    </xf>
    <xf numFmtId="43" fontId="16" fillId="0" borderId="23" xfId="1" applyFont="1" applyBorder="1" applyAlignment="1">
      <alignment horizontal="center"/>
    </xf>
    <xf numFmtId="165" fontId="16" fillId="0" borderId="28" xfId="1" applyNumberFormat="1" applyFont="1" applyBorder="1" applyAlignment="1">
      <alignment horizontal="center"/>
    </xf>
    <xf numFmtId="165" fontId="16" fillId="0" borderId="23" xfId="1" applyNumberFormat="1" applyFont="1" applyBorder="1" applyAlignment="1">
      <alignment horizontal="center"/>
    </xf>
    <xf numFmtId="165" fontId="16" fillId="0" borderId="32" xfId="1" applyNumberFormat="1" applyFont="1" applyBorder="1" applyAlignment="1">
      <alignment horizontal="center"/>
    </xf>
    <xf numFmtId="9" fontId="16" fillId="0" borderId="20" xfId="2" applyFont="1" applyBorder="1" applyAlignment="1">
      <alignment horizontal="center"/>
    </xf>
    <xf numFmtId="9" fontId="17" fillId="4" borderId="6" xfId="2" applyFont="1" applyFill="1" applyBorder="1" applyAlignment="1">
      <alignment horizontal="center"/>
    </xf>
    <xf numFmtId="165" fontId="17" fillId="4" borderId="20" xfId="1" applyNumberFormat="1" applyFont="1" applyFill="1" applyBorder="1" applyAlignment="1">
      <alignment horizontal="center"/>
    </xf>
    <xf numFmtId="43" fontId="17" fillId="4" borderId="20" xfId="1" applyFont="1" applyFill="1" applyBorder="1" applyAlignment="1">
      <alignment horizontal="center"/>
    </xf>
    <xf numFmtId="0" fontId="17" fillId="4" borderId="20" xfId="0" applyFont="1" applyFill="1" applyBorder="1"/>
    <xf numFmtId="165" fontId="17" fillId="4" borderId="28" xfId="1" applyNumberFormat="1" applyFont="1" applyFill="1" applyBorder="1" applyAlignment="1">
      <alignment horizontal="center"/>
    </xf>
    <xf numFmtId="0" fontId="17" fillId="10" borderId="20" xfId="0" applyFont="1" applyFill="1" applyBorder="1"/>
    <xf numFmtId="9" fontId="17" fillId="10" borderId="20" xfId="2" applyFont="1" applyFill="1" applyBorder="1" applyAlignment="1">
      <alignment horizontal="center"/>
    </xf>
    <xf numFmtId="165" fontId="17" fillId="10" borderId="28" xfId="1" applyNumberFormat="1" applyFont="1" applyFill="1" applyBorder="1" applyAlignment="1">
      <alignment horizontal="center"/>
    </xf>
    <xf numFmtId="9" fontId="17" fillId="10" borderId="6" xfId="2" applyFont="1" applyFill="1" applyBorder="1" applyAlignment="1">
      <alignment horizontal="center"/>
    </xf>
    <xf numFmtId="0" fontId="17" fillId="0" borderId="33" xfId="0" applyFont="1" applyBorder="1"/>
    <xf numFmtId="165" fontId="17" fillId="0" borderId="33" xfId="1" applyNumberFormat="1" applyFont="1" applyBorder="1" applyAlignment="1">
      <alignment horizontal="center"/>
    </xf>
    <xf numFmtId="165" fontId="17" fillId="0" borderId="34" xfId="1" applyNumberFormat="1" applyFont="1" applyBorder="1" applyAlignment="1">
      <alignment horizontal="center"/>
    </xf>
    <xf numFmtId="9" fontId="17" fillId="0" borderId="35" xfId="2" applyFont="1" applyBorder="1" applyAlignment="1">
      <alignment horizontal="center"/>
    </xf>
    <xf numFmtId="43" fontId="17" fillId="0" borderId="33" xfId="1" applyFont="1" applyBorder="1" applyAlignment="1">
      <alignment horizontal="center"/>
    </xf>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0" fillId="0" borderId="44" xfId="0" applyBorder="1"/>
    <xf numFmtId="0" fontId="28" fillId="0" borderId="44" xfId="0" applyFont="1" applyBorder="1"/>
    <xf numFmtId="0" fontId="29" fillId="0" borderId="44" xfId="0" applyFont="1" applyBorder="1"/>
    <xf numFmtId="0" fontId="17" fillId="0" borderId="9" xfId="0" applyFont="1" applyBorder="1" applyAlignment="1">
      <alignment horizontal="center"/>
    </xf>
    <xf numFmtId="0" fontId="0" fillId="0" borderId="45" xfId="0" applyBorder="1" applyAlignment="1">
      <alignment horizontal="center"/>
    </xf>
    <xf numFmtId="0" fontId="17" fillId="0" borderId="0" xfId="0" applyFont="1" applyAlignment="1">
      <alignment horizontal="center"/>
    </xf>
    <xf numFmtId="165" fontId="0" fillId="0" borderId="0" xfId="1" applyNumberFormat="1" applyFont="1" applyAlignment="1">
      <alignment horizontal="center"/>
    </xf>
    <xf numFmtId="165" fontId="17" fillId="0" borderId="0" xfId="1" applyNumberFormat="1" applyFont="1" applyAlignment="1">
      <alignment horizontal="center"/>
    </xf>
    <xf numFmtId="165" fontId="7" fillId="0" borderId="0" xfId="1" applyNumberFormat="1" applyFont="1" applyBorder="1"/>
    <xf numFmtId="0" fontId="13" fillId="0" borderId="46" xfId="0" applyFont="1" applyBorder="1" applyAlignment="1">
      <alignment horizontal="left" indent="1"/>
    </xf>
    <xf numFmtId="165" fontId="13" fillId="0" borderId="46" xfId="1" applyNumberFormat="1" applyFont="1" applyBorder="1"/>
    <xf numFmtId="0" fontId="0" fillId="10" borderId="0" xfId="0" applyFill="1"/>
    <xf numFmtId="0" fontId="0" fillId="6" borderId="0" xfId="0" applyFill="1"/>
    <xf numFmtId="0" fontId="17" fillId="12" borderId="20" xfId="0" applyFont="1" applyFill="1" applyBorder="1"/>
    <xf numFmtId="165" fontId="17" fillId="12" borderId="20" xfId="1" applyNumberFormat="1" applyFont="1" applyFill="1" applyBorder="1" applyAlignment="1">
      <alignment horizontal="center"/>
    </xf>
    <xf numFmtId="165" fontId="17" fillId="12" borderId="28" xfId="1" applyNumberFormat="1" applyFont="1" applyFill="1" applyBorder="1" applyAlignment="1">
      <alignment horizontal="center"/>
    </xf>
    <xf numFmtId="9" fontId="17" fillId="12" borderId="6" xfId="2" applyFont="1" applyFill="1" applyBorder="1" applyAlignment="1">
      <alignment horizontal="center"/>
    </xf>
    <xf numFmtId="43" fontId="17" fillId="12" borderId="20" xfId="1" applyFont="1" applyFill="1" applyBorder="1" applyAlignment="1">
      <alignment horizontal="center"/>
    </xf>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33" fillId="0" borderId="0" xfId="0" applyFont="1"/>
    <xf numFmtId="0" fontId="33" fillId="0" borderId="6" xfId="0" applyFont="1" applyBorder="1"/>
    <xf numFmtId="0" fontId="3" fillId="0" borderId="9" xfId="0" applyFont="1" applyBorder="1" applyAlignment="1">
      <alignment horizontal="center"/>
    </xf>
    <xf numFmtId="164" fontId="16" fillId="0" borderId="3" xfId="0" applyNumberFormat="1" applyFont="1" applyBorder="1" applyAlignment="1">
      <alignment horizontal="center" vertical="center"/>
    </xf>
    <xf numFmtId="164" fontId="16" fillId="0" borderId="0" xfId="0" applyNumberFormat="1" applyFont="1" applyAlignment="1">
      <alignment horizontal="center" vertical="center"/>
    </xf>
    <xf numFmtId="164" fontId="16" fillId="0" borderId="9" xfId="0" applyNumberFormat="1" applyFont="1" applyBorder="1" applyAlignment="1">
      <alignment horizontal="center" vertical="center"/>
    </xf>
    <xf numFmtId="1" fontId="16" fillId="0" borderId="3" xfId="0" applyNumberFormat="1" applyFont="1" applyBorder="1" applyAlignment="1">
      <alignment horizontal="center" vertical="center"/>
    </xf>
    <xf numFmtId="165" fontId="16" fillId="0" borderId="3" xfId="1" applyNumberFormat="1" applyFont="1" applyBorder="1" applyAlignment="1">
      <alignment horizontal="center" vertical="center"/>
    </xf>
    <xf numFmtId="165" fontId="16" fillId="0" borderId="0" xfId="1" applyNumberFormat="1" applyFont="1" applyBorder="1" applyAlignment="1">
      <alignment horizontal="center" vertical="center"/>
    </xf>
    <xf numFmtId="165" fontId="16" fillId="0" borderId="9" xfId="1" applyNumberFormat="1" applyFont="1" applyBorder="1" applyAlignment="1">
      <alignment horizontal="center" vertical="center"/>
    </xf>
    <xf numFmtId="165" fontId="16" fillId="0" borderId="9" xfId="1" applyNumberFormat="1" applyFont="1" applyFill="1" applyBorder="1" applyAlignment="1">
      <alignment horizontal="center" vertical="center"/>
    </xf>
    <xf numFmtId="0" fontId="34" fillId="21" borderId="0" xfId="0" applyFont="1" applyFill="1"/>
    <xf numFmtId="0" fontId="0" fillId="22" borderId="42" xfId="0" applyFill="1" applyBorder="1"/>
    <xf numFmtId="0" fontId="0" fillId="11" borderId="0" xfId="0" applyFill="1"/>
    <xf numFmtId="1" fontId="16" fillId="0" borderId="0" xfId="0" applyNumberFormat="1" applyFont="1" applyAlignment="1">
      <alignment horizontal="center" vertical="center"/>
    </xf>
    <xf numFmtId="2" fontId="16" fillId="0" borderId="9" xfId="0" applyNumberFormat="1" applyFont="1" applyBorder="1" applyAlignment="1">
      <alignment horizontal="center" vertical="center"/>
    </xf>
    <xf numFmtId="0" fontId="16" fillId="0" borderId="0" xfId="0" applyFont="1" applyAlignment="1">
      <alignment horizontal="center"/>
    </xf>
    <xf numFmtId="0" fontId="16" fillId="0" borderId="9" xfId="0" applyFont="1" applyBorder="1" applyAlignment="1">
      <alignment horizontal="center"/>
    </xf>
    <xf numFmtId="0" fontId="16" fillId="0" borderId="3" xfId="0" applyFont="1" applyBorder="1" applyAlignment="1">
      <alignment horizontal="center"/>
    </xf>
    <xf numFmtId="0" fontId="16" fillId="0" borderId="9" xfId="0" applyFont="1" applyBorder="1"/>
    <xf numFmtId="1" fontId="16" fillId="0" borderId="9" xfId="0" applyNumberFormat="1" applyFont="1" applyBorder="1" applyAlignment="1">
      <alignment horizontal="center" vertical="center"/>
    </xf>
    <xf numFmtId="2" fontId="16" fillId="0" borderId="0" xfId="0" applyNumberFormat="1" applyFont="1" applyAlignment="1">
      <alignment horizontal="center"/>
    </xf>
    <xf numFmtId="2" fontId="16" fillId="0" borderId="9" xfId="0" applyNumberFormat="1" applyFont="1" applyBorder="1" applyAlignment="1">
      <alignment horizontal="center"/>
    </xf>
    <xf numFmtId="2" fontId="16" fillId="5" borderId="0" xfId="0" applyNumberFormat="1" applyFont="1" applyFill="1" applyAlignment="1">
      <alignment horizontal="center"/>
    </xf>
    <xf numFmtId="165" fontId="16" fillId="0" borderId="3" xfId="1" applyNumberFormat="1" applyFont="1" applyBorder="1" applyAlignment="1">
      <alignment horizontal="center"/>
    </xf>
    <xf numFmtId="165" fontId="16" fillId="0" borderId="0" xfId="1" applyNumberFormat="1" applyFont="1" applyBorder="1" applyAlignment="1">
      <alignment horizontal="center"/>
    </xf>
    <xf numFmtId="165" fontId="16" fillId="0" borderId="9" xfId="1" applyNumberFormat="1" applyFont="1" applyBorder="1" applyAlignment="1">
      <alignment horizontal="center"/>
    </xf>
    <xf numFmtId="165" fontId="16" fillId="0" borderId="3" xfId="1" applyNumberFormat="1" applyFont="1" applyBorder="1" applyAlignment="1"/>
    <xf numFmtId="165" fontId="16" fillId="0" borderId="0" xfId="1" applyNumberFormat="1" applyFont="1" applyBorder="1" applyAlignment="1"/>
    <xf numFmtId="165" fontId="16" fillId="0" borderId="9" xfId="1" applyNumberFormat="1" applyFont="1" applyBorder="1" applyAlignment="1"/>
    <xf numFmtId="165" fontId="16" fillId="0" borderId="3" xfId="1" applyNumberFormat="1" applyFont="1" applyBorder="1" applyAlignment="1">
      <alignment vertical="center"/>
    </xf>
    <xf numFmtId="165" fontId="16" fillId="0" borderId="0" xfId="1" applyNumberFormat="1" applyFont="1" applyBorder="1" applyAlignment="1">
      <alignment vertical="center"/>
    </xf>
    <xf numFmtId="165" fontId="16" fillId="0" borderId="9" xfId="1" applyNumberFormat="1" applyFont="1" applyBorder="1" applyAlignment="1">
      <alignment vertical="center"/>
    </xf>
    <xf numFmtId="165" fontId="16" fillId="0" borderId="0" xfId="1" applyNumberFormat="1" applyFont="1" applyBorder="1" applyAlignment="1">
      <alignment horizontal="right" vertical="center"/>
    </xf>
    <xf numFmtId="9" fontId="0" fillId="0" borderId="0" xfId="2" applyFont="1"/>
    <xf numFmtId="0" fontId="2" fillId="2" borderId="0" xfId="0" applyFont="1" applyFill="1" applyAlignment="1">
      <alignment horizontal="center" vertical="center"/>
    </xf>
    <xf numFmtId="0" fontId="8" fillId="0" borderId="0" xfId="0" applyFont="1" applyAlignment="1">
      <alignment horizontal="left" vertical="top" wrapText="1"/>
    </xf>
    <xf numFmtId="0" fontId="0" fillId="3" borderId="0" xfId="0" applyFill="1" applyAlignment="1">
      <alignment horizontal="center"/>
    </xf>
    <xf numFmtId="0" fontId="9" fillId="3" borderId="0" xfId="0" applyFont="1" applyFill="1" applyAlignment="1">
      <alignment horizontal="left" vertical="center" indent="4"/>
    </xf>
    <xf numFmtId="0" fontId="10" fillId="3" borderId="0" xfId="0" applyFont="1" applyFill="1" applyAlignment="1">
      <alignment horizontal="left" vertical="center" indent="4"/>
    </xf>
    <xf numFmtId="0" fontId="9" fillId="3" borderId="0" xfId="0" applyFont="1" applyFill="1" applyAlignment="1">
      <alignment horizontal="left" vertical="center" indent="8"/>
    </xf>
    <xf numFmtId="0" fontId="10" fillId="3" borderId="0" xfId="0" applyFont="1" applyFill="1" applyAlignment="1">
      <alignment horizontal="left" vertical="center" indent="8"/>
    </xf>
    <xf numFmtId="167" fontId="7" fillId="9" borderId="18" xfId="0" applyNumberFormat="1" applyFont="1" applyFill="1" applyBorder="1" applyAlignment="1">
      <alignment horizontal="center" vertical="center"/>
    </xf>
    <xf numFmtId="0" fontId="23" fillId="3" borderId="0" xfId="0" applyFont="1" applyFill="1" applyAlignment="1">
      <alignment horizontal="center"/>
    </xf>
    <xf numFmtId="0" fontId="24" fillId="3" borderId="0" xfId="0" applyFont="1" applyFill="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7" fillId="9" borderId="18" xfId="0" applyFont="1" applyFill="1" applyBorder="1" applyAlignment="1">
      <alignment horizontal="center" vertical="center"/>
    </xf>
    <xf numFmtId="0" fontId="25" fillId="0" borderId="0" xfId="0" applyFont="1" applyAlignment="1">
      <alignment horizontal="right"/>
    </xf>
    <xf numFmtId="0" fontId="26" fillId="0" borderId="0" xfId="0" applyFont="1" applyAlignment="1">
      <alignment horizontal="right"/>
    </xf>
    <xf numFmtId="164" fontId="16" fillId="0" borderId="3" xfId="0" applyNumberFormat="1" applyFont="1" applyBorder="1" applyAlignment="1">
      <alignment horizontal="center" vertical="center"/>
    </xf>
    <xf numFmtId="164" fontId="16" fillId="0" borderId="0" xfId="0" applyNumberFormat="1" applyFont="1" applyAlignment="1">
      <alignment horizontal="center" vertical="center"/>
    </xf>
    <xf numFmtId="164" fontId="16" fillId="0" borderId="9" xfId="0" applyNumberFormat="1" applyFont="1" applyBorder="1" applyAlignment="1">
      <alignment horizontal="center" vertical="center"/>
    </xf>
    <xf numFmtId="0" fontId="2" fillId="3" borderId="0" xfId="0" applyFont="1" applyFill="1" applyAlignment="1">
      <alignment horizontal="left" vertical="center" indent="1"/>
    </xf>
    <xf numFmtId="0" fontId="22" fillId="3" borderId="0" xfId="0" applyFont="1" applyFill="1" applyAlignment="1">
      <alignment horizontal="left" vertical="center" indent="1"/>
    </xf>
    <xf numFmtId="0" fontId="4" fillId="19" borderId="0" xfId="0" applyFont="1" applyFill="1" applyAlignment="1">
      <alignment horizontal="center"/>
    </xf>
    <xf numFmtId="0" fontId="4" fillId="20" borderId="0" xfId="0" applyFont="1" applyFill="1" applyAlignment="1">
      <alignment horizontal="center"/>
    </xf>
  </cellXfs>
  <cellStyles count="3">
    <cellStyle name="Comma" xfId="1" builtinId="3"/>
    <cellStyle name="Normal" xfId="0" builtinId="0"/>
    <cellStyle name="Percent" xfId="2" builtinId="5"/>
  </cellStyles>
  <dxfs count="24">
    <dxf>
      <fill>
        <patternFill>
          <bgColor rgb="FF00B0F0"/>
        </patternFill>
      </fill>
    </dxf>
    <dxf>
      <fill>
        <patternFill>
          <bgColor rgb="FF7030A0"/>
        </patternFill>
      </fill>
    </dxf>
    <dxf>
      <fill>
        <patternFill>
          <bgColor rgb="FF92D050"/>
        </patternFill>
      </fill>
    </dxf>
    <dxf>
      <fill>
        <patternFill>
          <bgColor theme="9" tint="-0.24994659260841701"/>
        </patternFill>
      </fill>
    </dxf>
    <dxf>
      <fill>
        <patternFill>
          <bgColor theme="0" tint="-0.24994659260841701"/>
        </patternFill>
      </fill>
    </dxf>
    <dxf>
      <font>
        <color theme="1" tint="0.499984740745262"/>
      </font>
      <fill>
        <patternFill>
          <bgColor theme="2" tint="-9.9948118533890809E-2"/>
        </patternFill>
      </fill>
    </dxf>
    <dxf>
      <font>
        <strike val="0"/>
        <outline val="0"/>
        <shadow val="0"/>
        <u val="none"/>
        <vertAlign val="baseline"/>
        <sz val="10"/>
        <color theme="0" tint="-0.249977111117893"/>
        <name val="Calibri"/>
        <family val="2"/>
        <scheme val="minor"/>
      </font>
      <numFmt numFmtId="166" formatCode="d/mmm/yy"/>
      <alignment horizontal="right" vertical="center" textRotation="0" wrapText="0" indent="1" justifyLastLine="0" shrinkToFit="0" readingOrder="0"/>
    </dxf>
    <dxf>
      <font>
        <strike val="0"/>
        <outline val="0"/>
        <shadow val="0"/>
        <u val="none"/>
        <vertAlign val="baseline"/>
        <sz val="10"/>
        <color theme="0" tint="-0.499984740745262"/>
        <name val="Calibri"/>
        <family val="2"/>
        <scheme val="minor"/>
      </font>
      <numFmt numFmtId="165" formatCode="_ * #,##0_ ;_ * \-#,##0_ ;_ * &quot;-&quot;??_ ;_ @_ "/>
      <alignment horizontal="left" vertical="center" textRotation="0" wrapText="0" relativeIndent="1" justifyLastLine="0" shrinkToFit="0" readingOrder="0"/>
    </dxf>
    <dxf>
      <font>
        <strike val="0"/>
        <outline val="0"/>
        <shadow val="0"/>
        <u val="none"/>
        <vertAlign val="baseline"/>
        <sz val="10"/>
        <color theme="0" tint="-0.499984740745262"/>
        <name val="Calibri"/>
        <family val="2"/>
        <scheme val="minor"/>
      </font>
      <alignment horizontal="left" vertical="center" textRotation="0" wrapText="0" relativeIndent="1" justifyLastLine="0" shrinkToFit="0" readingOrder="0"/>
    </dxf>
    <dxf>
      <font>
        <b/>
        <strike val="0"/>
        <outline val="0"/>
        <shadow val="0"/>
        <u val="none"/>
        <vertAlign val="baseline"/>
        <sz val="10"/>
        <color theme="1"/>
        <name val="Calibri"/>
        <family val="2"/>
        <scheme val="minor"/>
      </font>
      <numFmt numFmtId="165" formatCode="_ * #,##0_ ;_ * \-#,##0_ ;_ * &quot;-&quot;??_ ;_ @_ "/>
      <alignment horizontal="left" vertical="center" textRotation="0" wrapText="0" relativeIndent="1" justifyLastLine="0" shrinkToFit="0" readingOrder="0"/>
    </dxf>
    <dxf>
      <font>
        <strike val="0"/>
        <outline val="0"/>
        <shadow val="0"/>
        <u val="none"/>
        <vertAlign val="baseline"/>
        <sz val="10"/>
        <color theme="1"/>
        <name val="Calibri"/>
        <family val="2"/>
        <scheme val="minor"/>
      </font>
      <alignment horizontal="left" vertical="center" textRotation="0" wrapText="0" relativeIndent="1" justifyLastLine="0" shrinkToFit="0" readingOrder="0"/>
    </dxf>
    <dxf>
      <font>
        <strike val="0"/>
        <outline val="0"/>
        <shadow val="0"/>
        <u val="none"/>
        <vertAlign val="baseline"/>
        <sz val="10"/>
        <color theme="1"/>
        <name val="Calibri"/>
        <family val="2"/>
        <scheme val="minor"/>
      </font>
      <alignment horizontal="left" vertical="center" textRotation="0" wrapText="0" relativeIndent="1" justifyLastLine="0" shrinkToFit="0" readingOrder="0"/>
    </dxf>
    <dxf>
      <font>
        <strike val="0"/>
        <outline val="0"/>
        <shadow val="0"/>
        <u val="none"/>
        <vertAlign val="baseline"/>
        <sz val="10"/>
        <color theme="1"/>
        <name val="Calibri"/>
        <family val="2"/>
        <scheme val="minor"/>
      </font>
      <numFmt numFmtId="20" formatCode="dd/mmm/yy"/>
      <alignment horizontal="left" vertical="center" textRotation="0" wrapText="0" relativeIndent="1" justifyLastLine="0" shrinkToFit="0" readingOrder="0"/>
    </dxf>
    <dxf>
      <font>
        <strike val="0"/>
        <outline val="0"/>
        <shadow val="0"/>
        <u val="none"/>
        <vertAlign val="baseline"/>
        <sz val="10"/>
        <color theme="1"/>
        <name val="Calibri"/>
        <family val="2"/>
        <scheme val="minor"/>
      </font>
      <alignment horizontal="left" vertical="center" textRotation="0" wrapText="0" relativeIndent="1" justifyLastLine="0" shrinkToFit="0" readingOrder="0"/>
    </dxf>
    <dxf>
      <alignment horizontal="left" vertical="center" textRotation="0" wrapText="0" relativeIndent="1" justifyLastLine="0" shrinkToFit="0" readingOrder="0"/>
    </dxf>
    <dxf>
      <border>
        <left style="thin">
          <color theme="4"/>
        </left>
      </border>
    </dxf>
    <dxf>
      <border>
        <left style="thin">
          <color theme="4"/>
        </left>
      </border>
    </dxf>
    <dxf>
      <border>
        <top style="thin">
          <color theme="4"/>
        </top>
      </border>
    </dxf>
    <dxf>
      <fill>
        <patternFill>
          <bgColor theme="0" tint="-4.9989318521683403E-2"/>
        </patternFill>
      </fill>
      <border>
        <top style="thin">
          <color theme="4"/>
        </top>
      </border>
    </dxf>
    <dxf>
      <font>
        <b/>
        <color theme="1"/>
      </font>
    </dxf>
    <dxf>
      <font>
        <b/>
        <color theme="1"/>
      </font>
    </dxf>
    <dxf>
      <font>
        <b/>
        <color theme="1"/>
      </font>
      <border>
        <top style="double">
          <color theme="4"/>
        </top>
      </border>
    </dxf>
    <dxf>
      <font>
        <b/>
        <color theme="0"/>
      </font>
      <fill>
        <patternFill patternType="solid">
          <fgColor theme="4"/>
          <bgColor theme="4" tint="-0.49998474074526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tracking table style" pivot="0" count="9" xr9:uid="{DAF8390A-0FBF-481A-B1FA-A66D2BFC3D46}">
      <tableStyleElement type="wholeTable" dxfId="23"/>
      <tableStyleElement type="headerRow" dxfId="22"/>
      <tableStyleElement type="totalRow" dxfId="21"/>
      <tableStyleElement type="firstColumn" dxfId="20"/>
      <tableStyleElement type="lastColumn" dxfId="19"/>
      <tableStyleElement type="firstRowStripe" dxfId="18"/>
      <tableStyleElement type="secondRowStripe" dxfId="17"/>
      <tableStyleElement type="firstColumnStripe" dxfId="16"/>
      <tableStyleElement type="secondColumnStripe" dxfId="15"/>
    </tableStyle>
  </tableStyles>
  <colors>
    <mruColors>
      <color rgb="FFF84836"/>
      <color rgb="FF3399FF"/>
      <color rgb="FF495DED"/>
      <color rgb="FF3366FF"/>
      <color rgb="FF5D9CD5"/>
      <color rgb="FF82B2DE"/>
      <color rgb="FFFF6699"/>
      <color rgb="FFFF00FF"/>
      <color rgb="FFCC00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689838083602678"/>
          <c:y val="0"/>
          <c:w val="0.50824943682373747"/>
          <c:h val="0.93571744018748237"/>
        </c:manualLayout>
      </c:layout>
      <c:doughnutChart>
        <c:varyColors val="0"/>
        <c:dLbls>
          <c:showLegendKey val="0"/>
          <c:showVal val="0"/>
          <c:showCatName val="0"/>
          <c:showSerName val="0"/>
          <c:showPercent val="0"/>
          <c:showBubbleSize val="0"/>
          <c:showLeaderLines val="0"/>
        </c:dLbls>
        <c:firstSliceAng val="0"/>
        <c:holeSize val="75"/>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752094190907731"/>
          <c:y val="0"/>
          <c:w val="0.56393163186228779"/>
          <c:h val="1"/>
        </c:manualLayout>
      </c:layout>
      <c:doughnutChart>
        <c:varyColors val="0"/>
        <c:dLbls>
          <c:showLegendKey val="0"/>
          <c:showVal val="0"/>
          <c:showCatName val="0"/>
          <c:showSerName val="0"/>
          <c:showPercent val="0"/>
          <c:showBubbleSize val="0"/>
          <c:showLeaderLines val="0"/>
        </c:dLbls>
        <c:firstSliceAng val="0"/>
        <c:holeSize val="76"/>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908060079007918"/>
          <c:y val="8.0353199765647046E-2"/>
          <c:w val="0.58244608371265039"/>
          <c:h val="0.91964680023435297"/>
        </c:manualLayout>
      </c:layout>
      <c:doughnutChart>
        <c:varyColors val="0"/>
        <c:dLbls>
          <c:showLegendKey val="0"/>
          <c:showVal val="0"/>
          <c:showCatName val="0"/>
          <c:showSerName val="0"/>
          <c:showPercent val="0"/>
          <c:showBubbleSize val="0"/>
          <c:showLeaderLines val="0"/>
        </c:dLbls>
        <c:firstSliceAng val="0"/>
        <c:holeSize val="7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689838083602678"/>
          <c:y val="0"/>
          <c:w val="0.50824943682373747"/>
          <c:h val="0.93571744018748237"/>
        </c:manualLayout>
      </c:layout>
      <c:doughnutChart>
        <c:varyColors val="0"/>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54341848842784E-2"/>
          <c:y val="0.11869851789285223"/>
          <c:w val="0.85612499111681861"/>
          <c:h val="0.88130148210714776"/>
        </c:manualLayout>
      </c:layout>
      <c:doughnutChart>
        <c:varyColors val="1"/>
        <c:ser>
          <c:idx val="0"/>
          <c:order val="0"/>
          <c:tx>
            <c:strRef>
              <c:f>'BUDGET DASHBOARD'!$AI$30</c:f>
              <c:strCache>
                <c:ptCount val="1"/>
                <c:pt idx="0">
                  <c:v>Housing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1D-439D-A74F-700271AB9F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1D-439D-A74F-700271AB9F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1D-439D-A74F-700271AB9F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1D-439D-A74F-700271AB9F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1D-439D-A74F-700271AB9F36}"/>
              </c:ext>
            </c:extLst>
          </c:dPt>
          <c:val>
            <c:numRef>
              <c:f>'BUDGET DASHBOARD'!$AI$31:$AI$35</c:f>
              <c:numCache>
                <c:formatCode>General</c:formatCode>
                <c:ptCount val="5"/>
                <c:pt idx="0">
                  <c:v>0</c:v>
                </c:pt>
                <c:pt idx="1">
                  <c:v>0</c:v>
                </c:pt>
                <c:pt idx="2">
                  <c:v>0</c:v>
                </c:pt>
                <c:pt idx="3">
                  <c:v>0</c:v>
                </c:pt>
                <c:pt idx="4">
                  <c:v>0</c:v>
                </c:pt>
              </c:numCache>
            </c:numRef>
          </c:val>
          <c:extLst>
            <c:ext xmlns:c15="http://schemas.microsoft.com/office/drawing/2012/chart" uri="{02D57815-91ED-43cb-92C2-25804820EDAC}">
              <c15:filteredCategoryTitle>
                <c15:cat>
                  <c:multiLvlStrRef>
                    <c:extLst>
                      <c:ext uri="{02D57815-91ED-43cb-92C2-25804820EDAC}">
                        <c15:formulaRef>
                          <c15:sqref>'BUDGET DASHBOARD'!#REF!</c15:sqref>
                        </c15:formulaRef>
                      </c:ext>
                    </c:extLst>
                  </c:multiLvlStrRef>
                </c15:cat>
              </c15:filteredCategoryTitle>
            </c:ext>
            <c:ext xmlns:c16="http://schemas.microsoft.com/office/drawing/2014/chart" uri="{C3380CC4-5D6E-409C-BE32-E72D297353CC}">
              <c16:uniqueId val="{00000000-6CC4-4259-B346-C692C08A1289}"/>
            </c:ext>
          </c:extLst>
        </c:ser>
        <c:ser>
          <c:idx val="1"/>
          <c:order val="1"/>
          <c:tx>
            <c:strRef>
              <c:f>'BUDGET DASHBOARD'!$AJ$30</c:f>
              <c:strCache>
                <c:ptCount val="1"/>
                <c:pt idx="0">
                  <c:v> 1,200 </c:v>
                </c:pt>
              </c:strCache>
            </c:strRef>
          </c:tx>
          <c:dPt>
            <c:idx val="0"/>
            <c:bubble3D val="0"/>
            <c:spPr>
              <a:solidFill>
                <a:srgbClr val="FF00FF"/>
              </a:solidFill>
              <a:ln w="19050">
                <a:solidFill>
                  <a:schemeClr val="lt1"/>
                </a:solidFill>
              </a:ln>
              <a:effectLst/>
            </c:spPr>
            <c:extLst>
              <c:ext xmlns:c16="http://schemas.microsoft.com/office/drawing/2014/chart" uri="{C3380CC4-5D6E-409C-BE32-E72D297353CC}">
                <c16:uniqueId val="{00000002-6CC4-4259-B346-C692C08A1289}"/>
              </c:ext>
            </c:extLst>
          </c:dPt>
          <c:dPt>
            <c:idx val="1"/>
            <c:bubble3D val="0"/>
            <c:spPr>
              <a:solidFill>
                <a:srgbClr val="CC00FF"/>
              </a:solidFill>
              <a:ln w="19050">
                <a:solidFill>
                  <a:schemeClr val="lt1"/>
                </a:solidFill>
              </a:ln>
              <a:effectLst/>
            </c:spPr>
            <c:extLst>
              <c:ext xmlns:c16="http://schemas.microsoft.com/office/drawing/2014/chart" uri="{C3380CC4-5D6E-409C-BE32-E72D297353CC}">
                <c16:uniqueId val="{00000003-6CC4-4259-B346-C692C08A12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631D-439D-A74F-700271AB9F36}"/>
              </c:ext>
            </c:extLst>
          </c:dPt>
          <c:dPt>
            <c:idx val="3"/>
            <c:bubble3D val="0"/>
            <c:spPr>
              <a:solidFill>
                <a:srgbClr val="FF00FF"/>
              </a:solidFill>
              <a:ln w="19050">
                <a:solidFill>
                  <a:schemeClr val="lt1"/>
                </a:solidFill>
              </a:ln>
              <a:effectLst/>
            </c:spPr>
            <c:extLst>
              <c:ext xmlns:c16="http://schemas.microsoft.com/office/drawing/2014/chart" uri="{C3380CC4-5D6E-409C-BE32-E72D297353CC}">
                <c16:uniqueId val="{00000004-6CC4-4259-B346-C692C08A1289}"/>
              </c:ext>
            </c:extLst>
          </c:dPt>
          <c:dPt>
            <c:idx val="4"/>
            <c:bubble3D val="0"/>
            <c:spPr>
              <a:solidFill>
                <a:srgbClr val="FF6699"/>
              </a:solidFill>
              <a:ln w="19050">
                <a:solidFill>
                  <a:schemeClr val="lt1"/>
                </a:solidFill>
              </a:ln>
              <a:effectLst/>
            </c:spPr>
            <c:extLst>
              <c:ext xmlns:c16="http://schemas.microsoft.com/office/drawing/2014/chart" uri="{C3380CC4-5D6E-409C-BE32-E72D297353CC}">
                <c16:uniqueId val="{00000005-6CC4-4259-B346-C692C08A1289}"/>
              </c:ext>
            </c:extLst>
          </c:dPt>
          <c:val>
            <c:numRef>
              <c:f>'BUDGET DASHBOARD'!$AJ$31:$AJ$35</c:f>
              <c:numCache>
                <c:formatCode>_ * #,##0_ ;_ * \-#,##0_ ;_ * "-"??_ ;_ @_ </c:formatCode>
                <c:ptCount val="5"/>
                <c:pt idx="0">
                  <c:v>400</c:v>
                </c:pt>
                <c:pt idx="1">
                  <c:v>380</c:v>
                </c:pt>
                <c:pt idx="2">
                  <c:v>300</c:v>
                </c:pt>
                <c:pt idx="3">
                  <c:v>270</c:v>
                </c:pt>
                <c:pt idx="4">
                  <c:v>460</c:v>
                </c:pt>
              </c:numCache>
            </c:numRef>
          </c:val>
          <c:extLst>
            <c:ext xmlns:c15="http://schemas.microsoft.com/office/drawing/2012/chart" uri="{02D57815-91ED-43cb-92C2-25804820EDAC}">
              <c15:filteredCategoryTitle>
                <c15:cat>
                  <c:multiLvlStrRef>
                    <c:extLst>
                      <c:ext uri="{02D57815-91ED-43cb-92C2-25804820EDAC}">
                        <c15:formulaRef>
                          <c15:sqref>'BUDGET DASHBOARD'!#REF!</c15:sqref>
                        </c15:formulaRef>
                      </c:ext>
                    </c:extLst>
                  </c:multiLvlStrRef>
                </c15:cat>
              </c15:filteredCategoryTitle>
            </c:ext>
            <c:ext xmlns:c16="http://schemas.microsoft.com/office/drawing/2014/chart" uri="{C3380CC4-5D6E-409C-BE32-E72D297353CC}">
              <c16:uniqueId val="{00000001-6CC4-4259-B346-C692C08A128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76638176918725E-2"/>
          <c:w val="0.83713658842538941"/>
          <c:h val="0.70710572947721417"/>
        </c:manualLayout>
      </c:layout>
      <c:doughnut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2-416F-4807-BA9A-703CC79905FD}"/>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1-416F-4807-BA9A-703CC79905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C9-45FF-A56B-6D71FC8C1B8B}"/>
              </c:ext>
            </c:extLst>
          </c:dPt>
          <c:cat>
            <c:strRef>
              <c:f>'BUDGET DASHBOARD'!$AI$17:$AI$19</c:f>
              <c:strCache>
                <c:ptCount val="3"/>
                <c:pt idx="0">
                  <c:v>Employment(Net)</c:v>
                </c:pt>
                <c:pt idx="1">
                  <c:v>Side Hustle(Net)</c:v>
                </c:pt>
                <c:pt idx="2">
                  <c:v>Dividends</c:v>
                </c:pt>
              </c:strCache>
            </c:strRef>
          </c:cat>
          <c:val>
            <c:numRef>
              <c:f>'BUDGET DASHBOARD'!$AJ$17:$AJ$19</c:f>
              <c:numCache>
                <c:formatCode>_ * #,##0_ ;_ * \-#,##0_ ;_ * "-"??_ ;_ @_ </c:formatCode>
                <c:ptCount val="3"/>
                <c:pt idx="0">
                  <c:v>3500</c:v>
                </c:pt>
                <c:pt idx="1">
                  <c:v>500</c:v>
                </c:pt>
                <c:pt idx="2">
                  <c:v>50</c:v>
                </c:pt>
              </c:numCache>
            </c:numRef>
          </c:val>
          <c:extLst>
            <c:ext xmlns:c16="http://schemas.microsoft.com/office/drawing/2014/chart" uri="{C3380CC4-5D6E-409C-BE32-E72D297353CC}">
              <c16:uniqueId val="{00000000-416F-4807-BA9A-703CC79905FD}"/>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624200937492136E-2"/>
          <c:y val="3.8965621100641029E-3"/>
          <c:w val="0.93137579906250789"/>
          <c:h val="0.71686201110107139"/>
        </c:manualLayout>
      </c:layout>
      <c:doughnutChart>
        <c:varyColors val="1"/>
        <c:ser>
          <c:idx val="0"/>
          <c:order val="0"/>
          <c:dPt>
            <c:idx val="0"/>
            <c:bubble3D val="0"/>
            <c:spPr>
              <a:solidFill>
                <a:srgbClr val="7030A0"/>
              </a:solidFill>
              <a:ln w="19050">
                <a:solidFill>
                  <a:schemeClr val="lt1"/>
                </a:solidFill>
              </a:ln>
              <a:effectLst/>
            </c:spPr>
            <c:extLst>
              <c:ext xmlns:c16="http://schemas.microsoft.com/office/drawing/2014/chart" uri="{C3380CC4-5D6E-409C-BE32-E72D297353CC}">
                <c16:uniqueId val="{00000001-65AD-45C3-AE3A-7BEEE6F5D093}"/>
              </c:ext>
            </c:extLst>
          </c:dPt>
          <c:dPt>
            <c:idx val="1"/>
            <c:bubble3D val="0"/>
            <c:spPr>
              <a:solidFill>
                <a:srgbClr val="3399FF"/>
              </a:solidFill>
              <a:ln w="19050">
                <a:solidFill>
                  <a:schemeClr val="lt1"/>
                </a:solidFill>
              </a:ln>
              <a:effectLst/>
            </c:spPr>
            <c:extLst>
              <c:ext xmlns:c16="http://schemas.microsoft.com/office/drawing/2014/chart" uri="{C3380CC4-5D6E-409C-BE32-E72D297353CC}">
                <c16:uniqueId val="{00000002-65AD-45C3-AE3A-7BEEE6F5D0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73-4411-8A89-43963B28F77F}"/>
              </c:ext>
            </c:extLst>
          </c:dPt>
          <c:dPt>
            <c:idx val="3"/>
            <c:bubble3D val="0"/>
            <c:spPr>
              <a:solidFill>
                <a:srgbClr val="82B2DE"/>
              </a:solidFill>
              <a:ln w="19050">
                <a:solidFill>
                  <a:schemeClr val="lt1"/>
                </a:solidFill>
              </a:ln>
              <a:effectLst/>
            </c:spPr>
            <c:extLst>
              <c:ext xmlns:c16="http://schemas.microsoft.com/office/drawing/2014/chart" uri="{C3380CC4-5D6E-409C-BE32-E72D297353CC}">
                <c16:uniqueId val="{00000003-65AD-45C3-AE3A-7BEEE6F5D093}"/>
              </c:ext>
            </c:extLst>
          </c:dPt>
          <c:dPt>
            <c:idx val="4"/>
            <c:bubble3D val="0"/>
            <c:spPr>
              <a:solidFill>
                <a:srgbClr val="495DED"/>
              </a:solidFill>
              <a:ln w="19050">
                <a:solidFill>
                  <a:schemeClr val="lt1"/>
                </a:solidFill>
              </a:ln>
              <a:effectLst/>
            </c:spPr>
            <c:extLst>
              <c:ext xmlns:c16="http://schemas.microsoft.com/office/drawing/2014/chart" uri="{C3380CC4-5D6E-409C-BE32-E72D297353CC}">
                <c16:uniqueId val="{00000004-65AD-45C3-AE3A-7BEEE6F5D093}"/>
              </c:ext>
            </c:extLst>
          </c:dPt>
          <c:dPt>
            <c:idx val="5"/>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65AD-45C3-AE3A-7BEEE6F5D093}"/>
              </c:ext>
            </c:extLst>
          </c:dPt>
          <c:cat>
            <c:strRef>
              <c:f>'BUDGET DASHBOARD'!$AP$30:$AP$35</c:f>
              <c:strCache>
                <c:ptCount val="6"/>
                <c:pt idx="0">
                  <c:v>Stock Portfolio</c:v>
                </c:pt>
                <c:pt idx="1">
                  <c:v>Retirement Account</c:v>
                </c:pt>
                <c:pt idx="2">
                  <c:v>Emergency Fund</c:v>
                </c:pt>
                <c:pt idx="3">
                  <c:v>Sinking Fund Rest</c:v>
                </c:pt>
                <c:pt idx="4">
                  <c:v>Sinking Fund Down Payment</c:v>
                </c:pt>
                <c:pt idx="5">
                  <c:v>Other</c:v>
                </c:pt>
              </c:strCache>
            </c:strRef>
          </c:cat>
          <c:val>
            <c:numRef>
              <c:f>'BUDGET DASHBOARD'!$AQ$30:$AQ$35</c:f>
              <c:numCache>
                <c:formatCode>_ * #,##0_ ;_ * \-#,##0_ ;_ * "-"??_ ;_ @_ </c:formatCode>
                <c:ptCount val="6"/>
                <c:pt idx="0">
                  <c:v>500</c:v>
                </c:pt>
                <c:pt idx="1">
                  <c:v>400</c:v>
                </c:pt>
                <c:pt idx="2">
                  <c:v>140</c:v>
                </c:pt>
                <c:pt idx="3">
                  <c:v>400</c:v>
                </c:pt>
                <c:pt idx="4">
                  <c:v>140</c:v>
                </c:pt>
                <c:pt idx="5">
                  <c:v>850</c:v>
                </c:pt>
              </c:numCache>
            </c:numRef>
          </c:val>
          <c:extLst>
            <c:ext xmlns:c16="http://schemas.microsoft.com/office/drawing/2014/chart" uri="{C3380CC4-5D6E-409C-BE32-E72D297353CC}">
              <c16:uniqueId val="{00000000-65AD-45C3-AE3A-7BEEE6F5D09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874749279247197E-2"/>
          <c:y val="6.0185185185185182E-2"/>
          <c:w val="0.87659398021581292"/>
          <c:h val="0.84167466395295665"/>
        </c:manualLayout>
      </c:layout>
      <c:barChart>
        <c:barDir val="col"/>
        <c:grouping val="stacked"/>
        <c:varyColors val="0"/>
        <c:ser>
          <c:idx val="0"/>
          <c:order val="0"/>
          <c:spPr>
            <a:solidFill>
              <a:srgbClr val="00B050"/>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11D2-43B3-80E7-5CD7CC176A33}"/>
              </c:ext>
            </c:extLst>
          </c:dPt>
          <c:dPt>
            <c:idx val="2"/>
            <c:invertIfNegative val="0"/>
            <c:bubble3D val="0"/>
            <c:spPr>
              <a:solidFill>
                <a:srgbClr val="0070C0"/>
              </a:solidFill>
              <a:ln>
                <a:noFill/>
              </a:ln>
              <a:effectLst/>
            </c:spPr>
            <c:extLst>
              <c:ext xmlns:c16="http://schemas.microsoft.com/office/drawing/2014/chart" uri="{C3380CC4-5D6E-409C-BE32-E72D297353CC}">
                <c16:uniqueId val="{00000003-11D2-43B3-80E7-5CD7CC176A33}"/>
              </c:ext>
            </c:extLst>
          </c:dPt>
          <c:dPt>
            <c:idx val="5"/>
            <c:invertIfNegative val="0"/>
            <c:bubble3D val="0"/>
            <c:spPr>
              <a:solidFill>
                <a:srgbClr val="FF0000"/>
              </a:solidFill>
              <a:ln>
                <a:noFill/>
              </a:ln>
              <a:effectLst/>
            </c:spPr>
            <c:extLst>
              <c:ext xmlns:c16="http://schemas.microsoft.com/office/drawing/2014/chart" uri="{C3380CC4-5D6E-409C-BE32-E72D297353CC}">
                <c16:uniqueId val="{00000005-11D2-43B3-80E7-5CD7CC176A33}"/>
              </c:ext>
            </c:extLst>
          </c:dPt>
          <c:dPt>
            <c:idx val="6"/>
            <c:invertIfNegative val="0"/>
            <c:bubble3D val="0"/>
            <c:spPr>
              <a:solidFill>
                <a:srgbClr val="0070C0"/>
              </a:solidFill>
              <a:ln>
                <a:noFill/>
              </a:ln>
              <a:effectLst/>
            </c:spPr>
            <c:extLst>
              <c:ext xmlns:c16="http://schemas.microsoft.com/office/drawing/2014/chart" uri="{C3380CC4-5D6E-409C-BE32-E72D297353CC}">
                <c16:uniqueId val="{00000007-11D2-43B3-80E7-5CD7CC176A33}"/>
              </c:ext>
            </c:extLst>
          </c:dPt>
          <c:dPt>
            <c:idx val="9"/>
            <c:invertIfNegative val="0"/>
            <c:bubble3D val="0"/>
            <c:spPr>
              <a:solidFill>
                <a:srgbClr val="FF0000"/>
              </a:solidFill>
              <a:ln>
                <a:noFill/>
              </a:ln>
              <a:effectLst/>
            </c:spPr>
            <c:extLst>
              <c:ext xmlns:c16="http://schemas.microsoft.com/office/drawing/2014/chart" uri="{C3380CC4-5D6E-409C-BE32-E72D297353CC}">
                <c16:uniqueId val="{00000009-11D2-43B3-80E7-5CD7CC176A33}"/>
              </c:ext>
            </c:extLst>
          </c:dPt>
          <c:dPt>
            <c:idx val="10"/>
            <c:invertIfNegative val="0"/>
            <c:bubble3D val="0"/>
            <c:spPr>
              <a:solidFill>
                <a:srgbClr val="0070C0"/>
              </a:solidFill>
              <a:ln>
                <a:noFill/>
              </a:ln>
              <a:effectLst/>
            </c:spPr>
            <c:extLst>
              <c:ext xmlns:c16="http://schemas.microsoft.com/office/drawing/2014/chart" uri="{C3380CC4-5D6E-409C-BE32-E72D297353CC}">
                <c16:uniqueId val="{0000000B-11D2-43B3-80E7-5CD7CC176A33}"/>
              </c:ext>
            </c:extLst>
          </c:dPt>
          <c:dPt>
            <c:idx val="13"/>
            <c:invertIfNegative val="0"/>
            <c:bubble3D val="0"/>
            <c:spPr>
              <a:solidFill>
                <a:srgbClr val="FF0000"/>
              </a:solidFill>
              <a:ln>
                <a:noFill/>
              </a:ln>
              <a:effectLst/>
            </c:spPr>
            <c:extLst>
              <c:ext xmlns:c16="http://schemas.microsoft.com/office/drawing/2014/chart" uri="{C3380CC4-5D6E-409C-BE32-E72D297353CC}">
                <c16:uniqueId val="{0000000D-11D2-43B3-80E7-5CD7CC176A33}"/>
              </c:ext>
            </c:extLst>
          </c:dPt>
          <c:dPt>
            <c:idx val="14"/>
            <c:invertIfNegative val="0"/>
            <c:bubble3D val="0"/>
            <c:spPr>
              <a:solidFill>
                <a:srgbClr val="0070C0"/>
              </a:solidFill>
              <a:ln>
                <a:noFill/>
              </a:ln>
              <a:effectLst/>
            </c:spPr>
            <c:extLst>
              <c:ext xmlns:c16="http://schemas.microsoft.com/office/drawing/2014/chart" uri="{C3380CC4-5D6E-409C-BE32-E72D297353CC}">
                <c16:uniqueId val="{0000000F-11D2-43B3-80E7-5CD7CC176A33}"/>
              </c:ext>
            </c:extLst>
          </c:dPt>
          <c:dPt>
            <c:idx val="17"/>
            <c:invertIfNegative val="0"/>
            <c:bubble3D val="0"/>
            <c:spPr>
              <a:solidFill>
                <a:srgbClr val="FF0000"/>
              </a:solidFill>
              <a:ln>
                <a:noFill/>
              </a:ln>
              <a:effectLst/>
            </c:spPr>
            <c:extLst>
              <c:ext xmlns:c16="http://schemas.microsoft.com/office/drawing/2014/chart" uri="{C3380CC4-5D6E-409C-BE32-E72D297353CC}">
                <c16:uniqueId val="{00000011-11D2-43B3-80E7-5CD7CC176A33}"/>
              </c:ext>
            </c:extLst>
          </c:dPt>
          <c:dPt>
            <c:idx val="18"/>
            <c:invertIfNegative val="0"/>
            <c:bubble3D val="0"/>
            <c:spPr>
              <a:solidFill>
                <a:srgbClr val="0070C0"/>
              </a:solidFill>
              <a:ln>
                <a:noFill/>
              </a:ln>
              <a:effectLst/>
            </c:spPr>
            <c:extLst>
              <c:ext xmlns:c16="http://schemas.microsoft.com/office/drawing/2014/chart" uri="{C3380CC4-5D6E-409C-BE32-E72D297353CC}">
                <c16:uniqueId val="{00000013-11D2-43B3-80E7-5CD7CC176A33}"/>
              </c:ext>
            </c:extLst>
          </c:dPt>
          <c:dPt>
            <c:idx val="21"/>
            <c:invertIfNegative val="0"/>
            <c:bubble3D val="0"/>
            <c:spPr>
              <a:solidFill>
                <a:srgbClr val="FF0000"/>
              </a:solidFill>
              <a:ln>
                <a:noFill/>
              </a:ln>
              <a:effectLst/>
            </c:spPr>
            <c:extLst>
              <c:ext xmlns:c16="http://schemas.microsoft.com/office/drawing/2014/chart" uri="{C3380CC4-5D6E-409C-BE32-E72D297353CC}">
                <c16:uniqueId val="{00000015-11D2-43B3-80E7-5CD7CC176A33}"/>
              </c:ext>
            </c:extLst>
          </c:dPt>
          <c:dPt>
            <c:idx val="22"/>
            <c:invertIfNegative val="0"/>
            <c:bubble3D val="0"/>
            <c:spPr>
              <a:solidFill>
                <a:srgbClr val="0070C0"/>
              </a:solidFill>
              <a:ln>
                <a:noFill/>
              </a:ln>
              <a:effectLst/>
            </c:spPr>
            <c:extLst>
              <c:ext xmlns:c16="http://schemas.microsoft.com/office/drawing/2014/chart" uri="{C3380CC4-5D6E-409C-BE32-E72D297353CC}">
                <c16:uniqueId val="{00000017-11D2-43B3-80E7-5CD7CC176A33}"/>
              </c:ext>
            </c:extLst>
          </c:dPt>
          <c:dPt>
            <c:idx val="25"/>
            <c:invertIfNegative val="0"/>
            <c:bubble3D val="0"/>
            <c:spPr>
              <a:solidFill>
                <a:srgbClr val="FF0000"/>
              </a:solidFill>
              <a:ln>
                <a:noFill/>
              </a:ln>
              <a:effectLst/>
            </c:spPr>
            <c:extLst>
              <c:ext xmlns:c16="http://schemas.microsoft.com/office/drawing/2014/chart" uri="{C3380CC4-5D6E-409C-BE32-E72D297353CC}">
                <c16:uniqueId val="{00000019-11D2-43B3-80E7-5CD7CC176A33}"/>
              </c:ext>
            </c:extLst>
          </c:dPt>
          <c:dPt>
            <c:idx val="26"/>
            <c:invertIfNegative val="0"/>
            <c:bubble3D val="0"/>
            <c:spPr>
              <a:solidFill>
                <a:srgbClr val="0070C0"/>
              </a:solidFill>
              <a:ln>
                <a:noFill/>
              </a:ln>
              <a:effectLst/>
            </c:spPr>
            <c:extLst>
              <c:ext xmlns:c16="http://schemas.microsoft.com/office/drawing/2014/chart" uri="{C3380CC4-5D6E-409C-BE32-E72D297353CC}">
                <c16:uniqueId val="{0000001B-11D2-43B3-80E7-5CD7CC176A33}"/>
              </c:ext>
            </c:extLst>
          </c:dPt>
          <c:dPt>
            <c:idx val="29"/>
            <c:invertIfNegative val="0"/>
            <c:bubble3D val="0"/>
            <c:spPr>
              <a:solidFill>
                <a:srgbClr val="FF0000"/>
              </a:solidFill>
              <a:ln>
                <a:noFill/>
              </a:ln>
              <a:effectLst/>
            </c:spPr>
            <c:extLst>
              <c:ext xmlns:c16="http://schemas.microsoft.com/office/drawing/2014/chart" uri="{C3380CC4-5D6E-409C-BE32-E72D297353CC}">
                <c16:uniqueId val="{0000001D-11D2-43B3-80E7-5CD7CC176A33}"/>
              </c:ext>
            </c:extLst>
          </c:dPt>
          <c:dPt>
            <c:idx val="30"/>
            <c:invertIfNegative val="0"/>
            <c:bubble3D val="0"/>
            <c:spPr>
              <a:solidFill>
                <a:srgbClr val="0070C0"/>
              </a:solidFill>
              <a:ln>
                <a:noFill/>
              </a:ln>
              <a:effectLst/>
            </c:spPr>
            <c:extLst>
              <c:ext xmlns:c16="http://schemas.microsoft.com/office/drawing/2014/chart" uri="{C3380CC4-5D6E-409C-BE32-E72D297353CC}">
                <c16:uniqueId val="{0000001F-11D2-43B3-80E7-5CD7CC176A33}"/>
              </c:ext>
            </c:extLst>
          </c:dPt>
          <c:dPt>
            <c:idx val="33"/>
            <c:invertIfNegative val="0"/>
            <c:bubble3D val="0"/>
            <c:spPr>
              <a:solidFill>
                <a:srgbClr val="FF0000"/>
              </a:solidFill>
              <a:ln>
                <a:noFill/>
              </a:ln>
              <a:effectLst/>
            </c:spPr>
            <c:extLst>
              <c:ext xmlns:c16="http://schemas.microsoft.com/office/drawing/2014/chart" uri="{C3380CC4-5D6E-409C-BE32-E72D297353CC}">
                <c16:uniqueId val="{00000021-11D2-43B3-80E7-5CD7CC176A33}"/>
              </c:ext>
            </c:extLst>
          </c:dPt>
          <c:dPt>
            <c:idx val="34"/>
            <c:invertIfNegative val="0"/>
            <c:bubble3D val="0"/>
            <c:spPr>
              <a:solidFill>
                <a:srgbClr val="0070C0"/>
              </a:solidFill>
              <a:ln>
                <a:noFill/>
              </a:ln>
              <a:effectLst/>
            </c:spPr>
            <c:extLst>
              <c:ext xmlns:c16="http://schemas.microsoft.com/office/drawing/2014/chart" uri="{C3380CC4-5D6E-409C-BE32-E72D297353CC}">
                <c16:uniqueId val="{00000023-11D2-43B3-80E7-5CD7CC176A33}"/>
              </c:ext>
            </c:extLst>
          </c:dPt>
          <c:dPt>
            <c:idx val="37"/>
            <c:invertIfNegative val="0"/>
            <c:bubble3D val="0"/>
            <c:spPr>
              <a:solidFill>
                <a:srgbClr val="FF0000"/>
              </a:solidFill>
              <a:ln>
                <a:noFill/>
              </a:ln>
              <a:effectLst/>
            </c:spPr>
            <c:extLst>
              <c:ext xmlns:c16="http://schemas.microsoft.com/office/drawing/2014/chart" uri="{C3380CC4-5D6E-409C-BE32-E72D297353CC}">
                <c16:uniqueId val="{00000025-11D2-43B3-80E7-5CD7CC176A33}"/>
              </c:ext>
            </c:extLst>
          </c:dPt>
          <c:dPt>
            <c:idx val="38"/>
            <c:invertIfNegative val="0"/>
            <c:bubble3D val="0"/>
            <c:spPr>
              <a:solidFill>
                <a:srgbClr val="0070C0"/>
              </a:solidFill>
              <a:ln>
                <a:noFill/>
              </a:ln>
              <a:effectLst/>
            </c:spPr>
            <c:extLst>
              <c:ext xmlns:c16="http://schemas.microsoft.com/office/drawing/2014/chart" uri="{C3380CC4-5D6E-409C-BE32-E72D297353CC}">
                <c16:uniqueId val="{00000027-11D2-43B3-80E7-5CD7CC176A33}"/>
              </c:ext>
            </c:extLst>
          </c:dPt>
          <c:dPt>
            <c:idx val="41"/>
            <c:invertIfNegative val="0"/>
            <c:bubble3D val="0"/>
            <c:spPr>
              <a:solidFill>
                <a:srgbClr val="FF0000"/>
              </a:solidFill>
              <a:ln>
                <a:noFill/>
              </a:ln>
              <a:effectLst/>
            </c:spPr>
            <c:extLst>
              <c:ext xmlns:c16="http://schemas.microsoft.com/office/drawing/2014/chart" uri="{C3380CC4-5D6E-409C-BE32-E72D297353CC}">
                <c16:uniqueId val="{00000029-11D2-43B3-80E7-5CD7CC176A33}"/>
              </c:ext>
            </c:extLst>
          </c:dPt>
          <c:dPt>
            <c:idx val="42"/>
            <c:invertIfNegative val="0"/>
            <c:bubble3D val="0"/>
            <c:spPr>
              <a:solidFill>
                <a:srgbClr val="0070C0"/>
              </a:solidFill>
              <a:ln>
                <a:noFill/>
              </a:ln>
              <a:effectLst/>
            </c:spPr>
            <c:extLst>
              <c:ext xmlns:c16="http://schemas.microsoft.com/office/drawing/2014/chart" uri="{C3380CC4-5D6E-409C-BE32-E72D297353CC}">
                <c16:uniqueId val="{0000002B-11D2-43B3-80E7-5CD7CC176A33}"/>
              </c:ext>
            </c:extLst>
          </c:dPt>
          <c:dPt>
            <c:idx val="45"/>
            <c:invertIfNegative val="0"/>
            <c:bubble3D val="0"/>
            <c:spPr>
              <a:solidFill>
                <a:srgbClr val="FF0000"/>
              </a:solidFill>
              <a:ln>
                <a:noFill/>
              </a:ln>
              <a:effectLst/>
            </c:spPr>
            <c:extLst>
              <c:ext xmlns:c16="http://schemas.microsoft.com/office/drawing/2014/chart" uri="{C3380CC4-5D6E-409C-BE32-E72D297353CC}">
                <c16:uniqueId val="{0000002D-11D2-43B3-80E7-5CD7CC176A33}"/>
              </c:ext>
            </c:extLst>
          </c:dPt>
          <c:dPt>
            <c:idx val="46"/>
            <c:invertIfNegative val="0"/>
            <c:bubble3D val="0"/>
            <c:spPr>
              <a:solidFill>
                <a:srgbClr val="0070C0"/>
              </a:solidFill>
              <a:ln>
                <a:noFill/>
              </a:ln>
              <a:effectLst/>
            </c:spPr>
            <c:extLst>
              <c:ext xmlns:c16="http://schemas.microsoft.com/office/drawing/2014/chart" uri="{C3380CC4-5D6E-409C-BE32-E72D297353CC}">
                <c16:uniqueId val="{0000002F-11D2-43B3-80E7-5CD7CC176A33}"/>
              </c:ext>
            </c:extLst>
          </c:dPt>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CALCULATIONS!$M$55:$M$102</c:f>
              <c:numCache>
                <c:formatCode>_ * #,##0_ ;_ * \-#,##0_ ;_ * "-"??_ ;_ @_ </c:formatCode>
                <c:ptCount val="48"/>
                <c:pt idx="0">
                  <c:v>0</c:v>
                </c:pt>
                <c:pt idx="1">
                  <c:v>0</c:v>
                </c:pt>
                <c:pt idx="2">
                  <c:v>0</c:v>
                </c:pt>
                <c:pt idx="4">
                  <c:v>4050</c:v>
                </c:pt>
                <c:pt idx="5">
                  <c:v>2900</c:v>
                </c:pt>
                <c:pt idx="6">
                  <c:v>1040</c:v>
                </c:pt>
                <c:pt idx="8">
                  <c:v>4600</c:v>
                </c:pt>
                <c:pt idx="9">
                  <c:v>2080</c:v>
                </c:pt>
                <c:pt idx="10">
                  <c:v>1550</c:v>
                </c:pt>
                <c:pt idx="12">
                  <c:v>0</c:v>
                </c:pt>
                <c:pt idx="13">
                  <c:v>0</c:v>
                </c:pt>
                <c:pt idx="14">
                  <c:v>0</c:v>
                </c:pt>
                <c:pt idx="16">
                  <c:v>5550</c:v>
                </c:pt>
                <c:pt idx="17">
                  <c:v>2900</c:v>
                </c:pt>
                <c:pt idx="18">
                  <c:v>2650</c:v>
                </c:pt>
                <c:pt idx="20">
                  <c:v>5600</c:v>
                </c:pt>
                <c:pt idx="21">
                  <c:v>3050</c:v>
                </c:pt>
                <c:pt idx="22">
                  <c:v>2550</c:v>
                </c:pt>
                <c:pt idx="24">
                  <c:v>5650</c:v>
                </c:pt>
                <c:pt idx="25">
                  <c:v>2900</c:v>
                </c:pt>
                <c:pt idx="26">
                  <c:v>2750</c:v>
                </c:pt>
                <c:pt idx="28">
                  <c:v>5550</c:v>
                </c:pt>
                <c:pt idx="29">
                  <c:v>4100</c:v>
                </c:pt>
                <c:pt idx="30">
                  <c:v>1450</c:v>
                </c:pt>
                <c:pt idx="32">
                  <c:v>5600</c:v>
                </c:pt>
                <c:pt idx="33">
                  <c:v>3050</c:v>
                </c:pt>
                <c:pt idx="34">
                  <c:v>2550</c:v>
                </c:pt>
                <c:pt idx="36">
                  <c:v>5650</c:v>
                </c:pt>
                <c:pt idx="37">
                  <c:v>2900</c:v>
                </c:pt>
                <c:pt idx="38">
                  <c:v>2750</c:v>
                </c:pt>
                <c:pt idx="40">
                  <c:v>5550</c:v>
                </c:pt>
                <c:pt idx="41">
                  <c:v>2900</c:v>
                </c:pt>
                <c:pt idx="42">
                  <c:v>2650</c:v>
                </c:pt>
                <c:pt idx="44">
                  <c:v>5600</c:v>
                </c:pt>
                <c:pt idx="45">
                  <c:v>3350</c:v>
                </c:pt>
                <c:pt idx="46">
                  <c:v>2250</c:v>
                </c:pt>
              </c:numCache>
            </c:numRef>
          </c:val>
          <c:extLst>
            <c:ext xmlns:c16="http://schemas.microsoft.com/office/drawing/2014/chart" uri="{C3380CC4-5D6E-409C-BE32-E72D297353CC}">
              <c16:uniqueId val="{00000030-11D2-43B3-80E7-5CD7CC176A33}"/>
            </c:ext>
          </c:extLst>
        </c:ser>
        <c:ser>
          <c:idx val="1"/>
          <c:order val="1"/>
          <c:spPr>
            <a:solidFill>
              <a:srgbClr val="92D050"/>
            </a:solidFill>
            <a:ln>
              <a:noFill/>
            </a:ln>
            <a:effectLst/>
          </c:spPr>
          <c:invertIfNegative val="0"/>
          <c:dPt>
            <c:idx val="1"/>
            <c:invertIfNegative val="0"/>
            <c:bubble3D val="0"/>
            <c:spPr>
              <a:solidFill>
                <a:srgbClr val="F84836"/>
              </a:solidFill>
              <a:ln>
                <a:noFill/>
              </a:ln>
              <a:effectLst/>
            </c:spPr>
            <c:extLst>
              <c:ext xmlns:c16="http://schemas.microsoft.com/office/drawing/2014/chart" uri="{C3380CC4-5D6E-409C-BE32-E72D297353CC}">
                <c16:uniqueId val="{00000032-11D2-43B3-80E7-5CD7CC176A33}"/>
              </c:ext>
            </c:extLst>
          </c:dPt>
          <c:dPt>
            <c:idx val="2"/>
            <c:invertIfNegative val="0"/>
            <c:bubble3D val="0"/>
            <c:spPr>
              <a:solidFill>
                <a:srgbClr val="00B0F0"/>
              </a:solidFill>
              <a:ln>
                <a:noFill/>
              </a:ln>
              <a:effectLst/>
            </c:spPr>
            <c:extLst>
              <c:ext xmlns:c16="http://schemas.microsoft.com/office/drawing/2014/chart" uri="{C3380CC4-5D6E-409C-BE32-E72D297353CC}">
                <c16:uniqueId val="{00000034-11D2-43B3-80E7-5CD7CC176A33}"/>
              </c:ext>
            </c:extLst>
          </c:dPt>
          <c:dPt>
            <c:idx val="5"/>
            <c:invertIfNegative val="0"/>
            <c:bubble3D val="0"/>
            <c:spPr>
              <a:solidFill>
                <a:srgbClr val="F84836"/>
              </a:solidFill>
              <a:ln>
                <a:noFill/>
              </a:ln>
              <a:effectLst/>
            </c:spPr>
            <c:extLst>
              <c:ext xmlns:c16="http://schemas.microsoft.com/office/drawing/2014/chart" uri="{C3380CC4-5D6E-409C-BE32-E72D297353CC}">
                <c16:uniqueId val="{00000036-11D2-43B3-80E7-5CD7CC176A33}"/>
              </c:ext>
            </c:extLst>
          </c:dPt>
          <c:dPt>
            <c:idx val="6"/>
            <c:invertIfNegative val="0"/>
            <c:bubble3D val="0"/>
            <c:spPr>
              <a:solidFill>
                <a:srgbClr val="00B0F0"/>
              </a:solidFill>
              <a:ln>
                <a:noFill/>
              </a:ln>
              <a:effectLst/>
            </c:spPr>
            <c:extLst>
              <c:ext xmlns:c16="http://schemas.microsoft.com/office/drawing/2014/chart" uri="{C3380CC4-5D6E-409C-BE32-E72D297353CC}">
                <c16:uniqueId val="{00000038-11D2-43B3-80E7-5CD7CC176A33}"/>
              </c:ext>
            </c:extLst>
          </c:dPt>
          <c:dPt>
            <c:idx val="9"/>
            <c:invertIfNegative val="0"/>
            <c:bubble3D val="0"/>
            <c:spPr>
              <a:solidFill>
                <a:srgbClr val="FF0000"/>
              </a:solidFill>
              <a:ln>
                <a:noFill/>
              </a:ln>
              <a:effectLst/>
            </c:spPr>
            <c:extLst>
              <c:ext xmlns:c16="http://schemas.microsoft.com/office/drawing/2014/chart" uri="{C3380CC4-5D6E-409C-BE32-E72D297353CC}">
                <c16:uniqueId val="{0000003A-11D2-43B3-80E7-5CD7CC176A33}"/>
              </c:ext>
            </c:extLst>
          </c:dPt>
          <c:dPt>
            <c:idx val="10"/>
            <c:invertIfNegative val="0"/>
            <c:bubble3D val="0"/>
            <c:spPr>
              <a:solidFill>
                <a:srgbClr val="00B0F0"/>
              </a:solidFill>
              <a:ln>
                <a:noFill/>
              </a:ln>
              <a:effectLst/>
            </c:spPr>
            <c:extLst>
              <c:ext xmlns:c16="http://schemas.microsoft.com/office/drawing/2014/chart" uri="{C3380CC4-5D6E-409C-BE32-E72D297353CC}">
                <c16:uniqueId val="{0000003C-11D2-43B3-80E7-5CD7CC176A33}"/>
              </c:ext>
            </c:extLst>
          </c:dPt>
          <c:dPt>
            <c:idx val="13"/>
            <c:invertIfNegative val="0"/>
            <c:bubble3D val="0"/>
            <c:spPr>
              <a:solidFill>
                <a:srgbClr val="FF0000"/>
              </a:solidFill>
              <a:ln>
                <a:noFill/>
              </a:ln>
              <a:effectLst/>
            </c:spPr>
            <c:extLst>
              <c:ext xmlns:c16="http://schemas.microsoft.com/office/drawing/2014/chart" uri="{C3380CC4-5D6E-409C-BE32-E72D297353CC}">
                <c16:uniqueId val="{0000003E-11D2-43B3-80E7-5CD7CC176A33}"/>
              </c:ext>
            </c:extLst>
          </c:dPt>
          <c:dPt>
            <c:idx val="14"/>
            <c:invertIfNegative val="0"/>
            <c:bubble3D val="0"/>
            <c:spPr>
              <a:solidFill>
                <a:srgbClr val="00B0F0"/>
              </a:solidFill>
              <a:ln>
                <a:noFill/>
              </a:ln>
              <a:effectLst/>
            </c:spPr>
            <c:extLst>
              <c:ext xmlns:c16="http://schemas.microsoft.com/office/drawing/2014/chart" uri="{C3380CC4-5D6E-409C-BE32-E72D297353CC}">
                <c16:uniqueId val="{00000040-11D2-43B3-80E7-5CD7CC176A33}"/>
              </c:ext>
            </c:extLst>
          </c:dPt>
          <c:dPt>
            <c:idx val="17"/>
            <c:invertIfNegative val="0"/>
            <c:bubble3D val="0"/>
            <c:spPr>
              <a:solidFill>
                <a:srgbClr val="FF0000"/>
              </a:solidFill>
              <a:ln>
                <a:noFill/>
              </a:ln>
              <a:effectLst/>
            </c:spPr>
            <c:extLst>
              <c:ext xmlns:c16="http://schemas.microsoft.com/office/drawing/2014/chart" uri="{C3380CC4-5D6E-409C-BE32-E72D297353CC}">
                <c16:uniqueId val="{00000042-11D2-43B3-80E7-5CD7CC176A33}"/>
              </c:ext>
            </c:extLst>
          </c:dPt>
          <c:dPt>
            <c:idx val="18"/>
            <c:invertIfNegative val="0"/>
            <c:bubble3D val="0"/>
            <c:spPr>
              <a:solidFill>
                <a:srgbClr val="00B0F0"/>
              </a:solidFill>
              <a:ln>
                <a:noFill/>
              </a:ln>
              <a:effectLst/>
            </c:spPr>
            <c:extLst>
              <c:ext xmlns:c16="http://schemas.microsoft.com/office/drawing/2014/chart" uri="{C3380CC4-5D6E-409C-BE32-E72D297353CC}">
                <c16:uniqueId val="{00000044-11D2-43B3-80E7-5CD7CC176A33}"/>
              </c:ext>
            </c:extLst>
          </c:dPt>
          <c:dPt>
            <c:idx val="21"/>
            <c:invertIfNegative val="0"/>
            <c:bubble3D val="0"/>
            <c:spPr>
              <a:solidFill>
                <a:srgbClr val="FF0000"/>
              </a:solidFill>
              <a:ln>
                <a:noFill/>
              </a:ln>
              <a:effectLst/>
            </c:spPr>
            <c:extLst>
              <c:ext xmlns:c16="http://schemas.microsoft.com/office/drawing/2014/chart" uri="{C3380CC4-5D6E-409C-BE32-E72D297353CC}">
                <c16:uniqueId val="{00000046-11D2-43B3-80E7-5CD7CC176A33}"/>
              </c:ext>
            </c:extLst>
          </c:dPt>
          <c:dPt>
            <c:idx val="22"/>
            <c:invertIfNegative val="0"/>
            <c:bubble3D val="0"/>
            <c:spPr>
              <a:solidFill>
                <a:srgbClr val="00B0F0"/>
              </a:solidFill>
              <a:ln>
                <a:noFill/>
              </a:ln>
              <a:effectLst/>
            </c:spPr>
            <c:extLst>
              <c:ext xmlns:c16="http://schemas.microsoft.com/office/drawing/2014/chart" uri="{C3380CC4-5D6E-409C-BE32-E72D297353CC}">
                <c16:uniqueId val="{00000048-11D2-43B3-80E7-5CD7CC176A33}"/>
              </c:ext>
            </c:extLst>
          </c:dPt>
          <c:dPt>
            <c:idx val="25"/>
            <c:invertIfNegative val="0"/>
            <c:bubble3D val="0"/>
            <c:spPr>
              <a:solidFill>
                <a:srgbClr val="FF0000"/>
              </a:solidFill>
              <a:ln>
                <a:noFill/>
              </a:ln>
              <a:effectLst/>
            </c:spPr>
            <c:extLst>
              <c:ext xmlns:c16="http://schemas.microsoft.com/office/drawing/2014/chart" uri="{C3380CC4-5D6E-409C-BE32-E72D297353CC}">
                <c16:uniqueId val="{0000004A-11D2-43B3-80E7-5CD7CC176A33}"/>
              </c:ext>
            </c:extLst>
          </c:dPt>
          <c:dPt>
            <c:idx val="26"/>
            <c:invertIfNegative val="0"/>
            <c:bubble3D val="0"/>
            <c:spPr>
              <a:solidFill>
                <a:srgbClr val="00B0F0"/>
              </a:solidFill>
              <a:ln>
                <a:noFill/>
              </a:ln>
              <a:effectLst/>
            </c:spPr>
            <c:extLst>
              <c:ext xmlns:c16="http://schemas.microsoft.com/office/drawing/2014/chart" uri="{C3380CC4-5D6E-409C-BE32-E72D297353CC}">
                <c16:uniqueId val="{0000004C-11D2-43B3-80E7-5CD7CC176A33}"/>
              </c:ext>
            </c:extLst>
          </c:dPt>
          <c:dPt>
            <c:idx val="29"/>
            <c:invertIfNegative val="0"/>
            <c:bubble3D val="0"/>
            <c:spPr>
              <a:solidFill>
                <a:srgbClr val="FF0000"/>
              </a:solidFill>
              <a:ln>
                <a:noFill/>
              </a:ln>
              <a:effectLst/>
            </c:spPr>
            <c:extLst>
              <c:ext xmlns:c16="http://schemas.microsoft.com/office/drawing/2014/chart" uri="{C3380CC4-5D6E-409C-BE32-E72D297353CC}">
                <c16:uniqueId val="{0000004E-11D2-43B3-80E7-5CD7CC176A33}"/>
              </c:ext>
            </c:extLst>
          </c:dPt>
          <c:dPt>
            <c:idx val="30"/>
            <c:invertIfNegative val="0"/>
            <c:bubble3D val="0"/>
            <c:spPr>
              <a:solidFill>
                <a:srgbClr val="00B0F0"/>
              </a:solidFill>
              <a:ln>
                <a:noFill/>
              </a:ln>
              <a:effectLst/>
            </c:spPr>
            <c:extLst>
              <c:ext xmlns:c16="http://schemas.microsoft.com/office/drawing/2014/chart" uri="{C3380CC4-5D6E-409C-BE32-E72D297353CC}">
                <c16:uniqueId val="{00000050-11D2-43B3-80E7-5CD7CC176A33}"/>
              </c:ext>
            </c:extLst>
          </c:dPt>
          <c:dPt>
            <c:idx val="33"/>
            <c:invertIfNegative val="0"/>
            <c:bubble3D val="0"/>
            <c:spPr>
              <a:solidFill>
                <a:srgbClr val="FF0000"/>
              </a:solidFill>
              <a:ln>
                <a:noFill/>
              </a:ln>
              <a:effectLst/>
            </c:spPr>
            <c:extLst>
              <c:ext xmlns:c16="http://schemas.microsoft.com/office/drawing/2014/chart" uri="{C3380CC4-5D6E-409C-BE32-E72D297353CC}">
                <c16:uniqueId val="{00000052-11D2-43B3-80E7-5CD7CC176A33}"/>
              </c:ext>
            </c:extLst>
          </c:dPt>
          <c:dPt>
            <c:idx val="34"/>
            <c:invertIfNegative val="0"/>
            <c:bubble3D val="0"/>
            <c:spPr>
              <a:solidFill>
                <a:srgbClr val="00B0F0"/>
              </a:solidFill>
              <a:ln>
                <a:noFill/>
              </a:ln>
              <a:effectLst/>
            </c:spPr>
            <c:extLst>
              <c:ext xmlns:c16="http://schemas.microsoft.com/office/drawing/2014/chart" uri="{C3380CC4-5D6E-409C-BE32-E72D297353CC}">
                <c16:uniqueId val="{00000054-11D2-43B3-80E7-5CD7CC176A33}"/>
              </c:ext>
            </c:extLst>
          </c:dPt>
          <c:dPt>
            <c:idx val="37"/>
            <c:invertIfNegative val="0"/>
            <c:bubble3D val="0"/>
            <c:spPr>
              <a:solidFill>
                <a:srgbClr val="FF0000"/>
              </a:solidFill>
              <a:ln>
                <a:noFill/>
              </a:ln>
              <a:effectLst/>
            </c:spPr>
            <c:extLst>
              <c:ext xmlns:c16="http://schemas.microsoft.com/office/drawing/2014/chart" uri="{C3380CC4-5D6E-409C-BE32-E72D297353CC}">
                <c16:uniqueId val="{00000056-11D2-43B3-80E7-5CD7CC176A33}"/>
              </c:ext>
            </c:extLst>
          </c:dPt>
          <c:dPt>
            <c:idx val="38"/>
            <c:invertIfNegative val="0"/>
            <c:bubble3D val="0"/>
            <c:spPr>
              <a:solidFill>
                <a:srgbClr val="00B0F0"/>
              </a:solidFill>
              <a:ln>
                <a:noFill/>
              </a:ln>
              <a:effectLst/>
            </c:spPr>
            <c:extLst>
              <c:ext xmlns:c16="http://schemas.microsoft.com/office/drawing/2014/chart" uri="{C3380CC4-5D6E-409C-BE32-E72D297353CC}">
                <c16:uniqueId val="{00000058-11D2-43B3-80E7-5CD7CC176A33}"/>
              </c:ext>
            </c:extLst>
          </c:dPt>
          <c:dPt>
            <c:idx val="41"/>
            <c:invertIfNegative val="0"/>
            <c:bubble3D val="0"/>
            <c:spPr>
              <a:solidFill>
                <a:srgbClr val="FF0000"/>
              </a:solidFill>
              <a:ln>
                <a:noFill/>
              </a:ln>
              <a:effectLst/>
            </c:spPr>
            <c:extLst>
              <c:ext xmlns:c16="http://schemas.microsoft.com/office/drawing/2014/chart" uri="{C3380CC4-5D6E-409C-BE32-E72D297353CC}">
                <c16:uniqueId val="{0000005A-11D2-43B3-80E7-5CD7CC176A33}"/>
              </c:ext>
            </c:extLst>
          </c:dPt>
          <c:dPt>
            <c:idx val="42"/>
            <c:invertIfNegative val="0"/>
            <c:bubble3D val="0"/>
            <c:spPr>
              <a:solidFill>
                <a:srgbClr val="00B0F0"/>
              </a:solidFill>
              <a:ln>
                <a:noFill/>
              </a:ln>
              <a:effectLst/>
            </c:spPr>
            <c:extLst>
              <c:ext xmlns:c16="http://schemas.microsoft.com/office/drawing/2014/chart" uri="{C3380CC4-5D6E-409C-BE32-E72D297353CC}">
                <c16:uniqueId val="{0000005C-11D2-43B3-80E7-5CD7CC176A33}"/>
              </c:ext>
            </c:extLst>
          </c:dPt>
          <c:dPt>
            <c:idx val="45"/>
            <c:invertIfNegative val="0"/>
            <c:bubble3D val="0"/>
            <c:spPr>
              <a:solidFill>
                <a:srgbClr val="FF0000"/>
              </a:solidFill>
              <a:ln>
                <a:noFill/>
              </a:ln>
              <a:effectLst/>
            </c:spPr>
            <c:extLst>
              <c:ext xmlns:c16="http://schemas.microsoft.com/office/drawing/2014/chart" uri="{C3380CC4-5D6E-409C-BE32-E72D297353CC}">
                <c16:uniqueId val="{0000005E-11D2-43B3-80E7-5CD7CC176A33}"/>
              </c:ext>
            </c:extLst>
          </c:dPt>
          <c:dPt>
            <c:idx val="46"/>
            <c:invertIfNegative val="0"/>
            <c:bubble3D val="0"/>
            <c:spPr>
              <a:solidFill>
                <a:srgbClr val="00B0F0"/>
              </a:solidFill>
              <a:ln>
                <a:noFill/>
              </a:ln>
              <a:effectLst/>
            </c:spPr>
            <c:extLst>
              <c:ext xmlns:c16="http://schemas.microsoft.com/office/drawing/2014/chart" uri="{C3380CC4-5D6E-409C-BE32-E72D297353CC}">
                <c16:uniqueId val="{00000060-11D2-43B3-80E7-5CD7CC176A33}"/>
              </c:ext>
            </c:extLst>
          </c:dPt>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CALCULATIONS!$N$55:$N$102</c:f>
              <c:numCache>
                <c:formatCode>_ * #,##0_ ;_ * \-#,##0_ ;_ * "-"??_ ;_ @_ </c:formatCode>
                <c:ptCount val="48"/>
                <c:pt idx="0">
                  <c:v>0</c:v>
                </c:pt>
                <c:pt idx="1">
                  <c:v>100</c:v>
                </c:pt>
                <c:pt idx="2">
                  <c:v>0</c:v>
                </c:pt>
                <c:pt idx="4">
                  <c:v>500</c:v>
                </c:pt>
                <c:pt idx="5">
                  <c:v>0</c:v>
                </c:pt>
                <c:pt idx="6">
                  <c:v>610</c:v>
                </c:pt>
                <c:pt idx="8">
                  <c:v>0</c:v>
                </c:pt>
                <c:pt idx="9">
                  <c:v>970</c:v>
                </c:pt>
                <c:pt idx="10">
                  <c:v>1550</c:v>
                </c:pt>
                <c:pt idx="12">
                  <c:v>5650</c:v>
                </c:pt>
                <c:pt idx="13">
                  <c:v>3800</c:v>
                </c:pt>
                <c:pt idx="14">
                  <c:v>1850</c:v>
                </c:pt>
                <c:pt idx="16">
                  <c:v>5550</c:v>
                </c:pt>
                <c:pt idx="17">
                  <c:v>2900</c:v>
                </c:pt>
                <c:pt idx="18">
                  <c:v>2650</c:v>
                </c:pt>
                <c:pt idx="20">
                  <c:v>5600</c:v>
                </c:pt>
                <c:pt idx="21">
                  <c:v>3050</c:v>
                </c:pt>
                <c:pt idx="22">
                  <c:v>2550</c:v>
                </c:pt>
                <c:pt idx="24">
                  <c:v>5650</c:v>
                </c:pt>
                <c:pt idx="25">
                  <c:v>2900</c:v>
                </c:pt>
                <c:pt idx="26">
                  <c:v>2750</c:v>
                </c:pt>
                <c:pt idx="28">
                  <c:v>5550</c:v>
                </c:pt>
                <c:pt idx="29">
                  <c:v>4100</c:v>
                </c:pt>
                <c:pt idx="30">
                  <c:v>1450</c:v>
                </c:pt>
                <c:pt idx="32">
                  <c:v>5600</c:v>
                </c:pt>
                <c:pt idx="33">
                  <c:v>3050</c:v>
                </c:pt>
                <c:pt idx="34">
                  <c:v>2550</c:v>
                </c:pt>
                <c:pt idx="36">
                  <c:v>5650</c:v>
                </c:pt>
                <c:pt idx="37">
                  <c:v>2900</c:v>
                </c:pt>
                <c:pt idx="38">
                  <c:v>2750</c:v>
                </c:pt>
                <c:pt idx="40">
                  <c:v>5550</c:v>
                </c:pt>
                <c:pt idx="41">
                  <c:v>2900</c:v>
                </c:pt>
                <c:pt idx="42">
                  <c:v>2650</c:v>
                </c:pt>
                <c:pt idx="44">
                  <c:v>5600</c:v>
                </c:pt>
                <c:pt idx="45">
                  <c:v>3350</c:v>
                </c:pt>
                <c:pt idx="46">
                  <c:v>2250</c:v>
                </c:pt>
              </c:numCache>
            </c:numRef>
          </c:val>
          <c:extLst>
            <c:ext xmlns:c16="http://schemas.microsoft.com/office/drawing/2014/chart" uri="{C3380CC4-5D6E-409C-BE32-E72D297353CC}">
              <c16:uniqueId val="{00000061-11D2-43B3-80E7-5CD7CC176A33}"/>
            </c:ext>
          </c:extLst>
        </c:ser>
        <c:ser>
          <c:idx val="2"/>
          <c:order val="2"/>
          <c:spPr>
            <a:solidFill>
              <a:srgbClr val="00B050"/>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63-11D2-43B3-80E7-5CD7CC176A33}"/>
              </c:ext>
            </c:extLst>
          </c:dPt>
          <c:dPt>
            <c:idx val="2"/>
            <c:invertIfNegative val="0"/>
            <c:bubble3D val="0"/>
            <c:spPr>
              <a:solidFill>
                <a:srgbClr val="0070C0"/>
              </a:solidFill>
              <a:ln>
                <a:noFill/>
              </a:ln>
              <a:effectLst/>
            </c:spPr>
            <c:extLst>
              <c:ext xmlns:c16="http://schemas.microsoft.com/office/drawing/2014/chart" uri="{C3380CC4-5D6E-409C-BE32-E72D297353CC}">
                <c16:uniqueId val="{00000065-11D2-43B3-80E7-5CD7CC176A33}"/>
              </c:ext>
            </c:extLst>
          </c:dPt>
          <c:dPt>
            <c:idx val="5"/>
            <c:invertIfNegative val="0"/>
            <c:bubble3D val="0"/>
            <c:spPr>
              <a:solidFill>
                <a:srgbClr val="FF0000"/>
              </a:solidFill>
              <a:ln>
                <a:noFill/>
              </a:ln>
              <a:effectLst/>
            </c:spPr>
            <c:extLst>
              <c:ext xmlns:c16="http://schemas.microsoft.com/office/drawing/2014/chart" uri="{C3380CC4-5D6E-409C-BE32-E72D297353CC}">
                <c16:uniqueId val="{00000067-11D2-43B3-80E7-5CD7CC176A33}"/>
              </c:ext>
            </c:extLst>
          </c:dPt>
          <c:dPt>
            <c:idx val="6"/>
            <c:invertIfNegative val="0"/>
            <c:bubble3D val="0"/>
            <c:spPr>
              <a:solidFill>
                <a:srgbClr val="0070C0"/>
              </a:solidFill>
              <a:ln>
                <a:noFill/>
              </a:ln>
              <a:effectLst/>
            </c:spPr>
            <c:extLst>
              <c:ext xmlns:c16="http://schemas.microsoft.com/office/drawing/2014/chart" uri="{C3380CC4-5D6E-409C-BE32-E72D297353CC}">
                <c16:uniqueId val="{00000069-11D2-43B3-80E7-5CD7CC176A33}"/>
              </c:ext>
            </c:extLst>
          </c:dPt>
          <c:dPt>
            <c:idx val="9"/>
            <c:invertIfNegative val="0"/>
            <c:bubble3D val="0"/>
            <c:spPr>
              <a:solidFill>
                <a:srgbClr val="FF0000"/>
              </a:solidFill>
              <a:ln>
                <a:noFill/>
              </a:ln>
              <a:effectLst/>
            </c:spPr>
            <c:extLst>
              <c:ext xmlns:c16="http://schemas.microsoft.com/office/drawing/2014/chart" uri="{C3380CC4-5D6E-409C-BE32-E72D297353CC}">
                <c16:uniqueId val="{0000006B-11D2-43B3-80E7-5CD7CC176A33}"/>
              </c:ext>
            </c:extLst>
          </c:dPt>
          <c:dPt>
            <c:idx val="10"/>
            <c:invertIfNegative val="0"/>
            <c:bubble3D val="0"/>
            <c:spPr>
              <a:solidFill>
                <a:srgbClr val="0070C0"/>
              </a:solidFill>
              <a:ln>
                <a:noFill/>
              </a:ln>
              <a:effectLst/>
            </c:spPr>
            <c:extLst>
              <c:ext xmlns:c16="http://schemas.microsoft.com/office/drawing/2014/chart" uri="{C3380CC4-5D6E-409C-BE32-E72D297353CC}">
                <c16:uniqueId val="{0000006D-11D2-43B3-80E7-5CD7CC176A33}"/>
              </c:ext>
            </c:extLst>
          </c:dPt>
          <c:dPt>
            <c:idx val="13"/>
            <c:invertIfNegative val="0"/>
            <c:bubble3D val="0"/>
            <c:spPr>
              <a:solidFill>
                <a:srgbClr val="FF0000"/>
              </a:solidFill>
              <a:ln>
                <a:noFill/>
              </a:ln>
              <a:effectLst/>
            </c:spPr>
            <c:extLst>
              <c:ext xmlns:c16="http://schemas.microsoft.com/office/drawing/2014/chart" uri="{C3380CC4-5D6E-409C-BE32-E72D297353CC}">
                <c16:uniqueId val="{0000006F-11D2-43B3-80E7-5CD7CC176A33}"/>
              </c:ext>
            </c:extLst>
          </c:dPt>
          <c:dPt>
            <c:idx val="14"/>
            <c:invertIfNegative val="0"/>
            <c:bubble3D val="0"/>
            <c:spPr>
              <a:solidFill>
                <a:srgbClr val="0070C0"/>
              </a:solidFill>
              <a:ln>
                <a:noFill/>
              </a:ln>
              <a:effectLst/>
            </c:spPr>
            <c:extLst>
              <c:ext xmlns:c16="http://schemas.microsoft.com/office/drawing/2014/chart" uri="{C3380CC4-5D6E-409C-BE32-E72D297353CC}">
                <c16:uniqueId val="{00000071-11D2-43B3-80E7-5CD7CC176A33}"/>
              </c:ext>
            </c:extLst>
          </c:dPt>
          <c:dPt>
            <c:idx val="17"/>
            <c:invertIfNegative val="0"/>
            <c:bubble3D val="0"/>
            <c:spPr>
              <a:solidFill>
                <a:srgbClr val="FF0000"/>
              </a:solidFill>
              <a:ln>
                <a:noFill/>
              </a:ln>
              <a:effectLst/>
            </c:spPr>
            <c:extLst>
              <c:ext xmlns:c16="http://schemas.microsoft.com/office/drawing/2014/chart" uri="{C3380CC4-5D6E-409C-BE32-E72D297353CC}">
                <c16:uniqueId val="{00000073-11D2-43B3-80E7-5CD7CC176A33}"/>
              </c:ext>
            </c:extLst>
          </c:dPt>
          <c:dPt>
            <c:idx val="18"/>
            <c:invertIfNegative val="0"/>
            <c:bubble3D val="0"/>
            <c:spPr>
              <a:solidFill>
                <a:srgbClr val="0070C0"/>
              </a:solidFill>
              <a:ln>
                <a:noFill/>
              </a:ln>
              <a:effectLst/>
            </c:spPr>
            <c:extLst>
              <c:ext xmlns:c16="http://schemas.microsoft.com/office/drawing/2014/chart" uri="{C3380CC4-5D6E-409C-BE32-E72D297353CC}">
                <c16:uniqueId val="{00000075-11D2-43B3-80E7-5CD7CC176A33}"/>
              </c:ext>
            </c:extLst>
          </c:dPt>
          <c:dPt>
            <c:idx val="21"/>
            <c:invertIfNegative val="0"/>
            <c:bubble3D val="0"/>
            <c:spPr>
              <a:solidFill>
                <a:srgbClr val="FF0000"/>
              </a:solidFill>
              <a:ln>
                <a:noFill/>
              </a:ln>
              <a:effectLst/>
            </c:spPr>
            <c:extLst>
              <c:ext xmlns:c16="http://schemas.microsoft.com/office/drawing/2014/chart" uri="{C3380CC4-5D6E-409C-BE32-E72D297353CC}">
                <c16:uniqueId val="{00000077-11D2-43B3-80E7-5CD7CC176A33}"/>
              </c:ext>
            </c:extLst>
          </c:dPt>
          <c:dPt>
            <c:idx val="22"/>
            <c:invertIfNegative val="0"/>
            <c:bubble3D val="0"/>
            <c:spPr>
              <a:solidFill>
                <a:srgbClr val="0070C0"/>
              </a:solidFill>
              <a:ln>
                <a:noFill/>
              </a:ln>
              <a:effectLst/>
            </c:spPr>
            <c:extLst>
              <c:ext xmlns:c16="http://schemas.microsoft.com/office/drawing/2014/chart" uri="{C3380CC4-5D6E-409C-BE32-E72D297353CC}">
                <c16:uniqueId val="{00000079-11D2-43B3-80E7-5CD7CC176A33}"/>
              </c:ext>
            </c:extLst>
          </c:dPt>
          <c:dPt>
            <c:idx val="25"/>
            <c:invertIfNegative val="0"/>
            <c:bubble3D val="0"/>
            <c:spPr>
              <a:solidFill>
                <a:srgbClr val="FF0000"/>
              </a:solidFill>
              <a:ln>
                <a:noFill/>
              </a:ln>
              <a:effectLst/>
            </c:spPr>
            <c:extLst>
              <c:ext xmlns:c16="http://schemas.microsoft.com/office/drawing/2014/chart" uri="{C3380CC4-5D6E-409C-BE32-E72D297353CC}">
                <c16:uniqueId val="{0000007B-11D2-43B3-80E7-5CD7CC176A33}"/>
              </c:ext>
            </c:extLst>
          </c:dPt>
          <c:dPt>
            <c:idx val="26"/>
            <c:invertIfNegative val="0"/>
            <c:bubble3D val="0"/>
            <c:spPr>
              <a:solidFill>
                <a:srgbClr val="0070C0"/>
              </a:solidFill>
              <a:ln>
                <a:noFill/>
              </a:ln>
              <a:effectLst/>
            </c:spPr>
            <c:extLst>
              <c:ext xmlns:c16="http://schemas.microsoft.com/office/drawing/2014/chart" uri="{C3380CC4-5D6E-409C-BE32-E72D297353CC}">
                <c16:uniqueId val="{0000007D-11D2-43B3-80E7-5CD7CC176A33}"/>
              </c:ext>
            </c:extLst>
          </c:dPt>
          <c:dPt>
            <c:idx val="29"/>
            <c:invertIfNegative val="0"/>
            <c:bubble3D val="0"/>
            <c:spPr>
              <a:solidFill>
                <a:srgbClr val="FF0000"/>
              </a:solidFill>
              <a:ln>
                <a:noFill/>
              </a:ln>
              <a:effectLst/>
            </c:spPr>
            <c:extLst>
              <c:ext xmlns:c16="http://schemas.microsoft.com/office/drawing/2014/chart" uri="{C3380CC4-5D6E-409C-BE32-E72D297353CC}">
                <c16:uniqueId val="{0000007F-11D2-43B3-80E7-5CD7CC176A33}"/>
              </c:ext>
            </c:extLst>
          </c:dPt>
          <c:dPt>
            <c:idx val="30"/>
            <c:invertIfNegative val="0"/>
            <c:bubble3D val="0"/>
            <c:spPr>
              <a:solidFill>
                <a:srgbClr val="0070C0"/>
              </a:solidFill>
              <a:ln>
                <a:noFill/>
              </a:ln>
              <a:effectLst/>
            </c:spPr>
            <c:extLst>
              <c:ext xmlns:c16="http://schemas.microsoft.com/office/drawing/2014/chart" uri="{C3380CC4-5D6E-409C-BE32-E72D297353CC}">
                <c16:uniqueId val="{00000081-11D2-43B3-80E7-5CD7CC176A33}"/>
              </c:ext>
            </c:extLst>
          </c:dPt>
          <c:dPt>
            <c:idx val="33"/>
            <c:invertIfNegative val="0"/>
            <c:bubble3D val="0"/>
            <c:spPr>
              <a:solidFill>
                <a:srgbClr val="FF0000"/>
              </a:solidFill>
              <a:ln>
                <a:noFill/>
              </a:ln>
              <a:effectLst/>
            </c:spPr>
            <c:extLst>
              <c:ext xmlns:c16="http://schemas.microsoft.com/office/drawing/2014/chart" uri="{C3380CC4-5D6E-409C-BE32-E72D297353CC}">
                <c16:uniqueId val="{00000083-11D2-43B3-80E7-5CD7CC176A33}"/>
              </c:ext>
            </c:extLst>
          </c:dPt>
          <c:dPt>
            <c:idx val="34"/>
            <c:invertIfNegative val="0"/>
            <c:bubble3D val="0"/>
            <c:spPr>
              <a:solidFill>
                <a:srgbClr val="0070C0"/>
              </a:solidFill>
              <a:ln>
                <a:noFill/>
              </a:ln>
              <a:effectLst/>
            </c:spPr>
            <c:extLst>
              <c:ext xmlns:c16="http://schemas.microsoft.com/office/drawing/2014/chart" uri="{C3380CC4-5D6E-409C-BE32-E72D297353CC}">
                <c16:uniqueId val="{00000085-11D2-43B3-80E7-5CD7CC176A33}"/>
              </c:ext>
            </c:extLst>
          </c:dPt>
          <c:dPt>
            <c:idx val="37"/>
            <c:invertIfNegative val="0"/>
            <c:bubble3D val="0"/>
            <c:spPr>
              <a:solidFill>
                <a:srgbClr val="FF0000"/>
              </a:solidFill>
              <a:ln>
                <a:noFill/>
              </a:ln>
              <a:effectLst/>
            </c:spPr>
            <c:extLst>
              <c:ext xmlns:c16="http://schemas.microsoft.com/office/drawing/2014/chart" uri="{C3380CC4-5D6E-409C-BE32-E72D297353CC}">
                <c16:uniqueId val="{00000087-11D2-43B3-80E7-5CD7CC176A33}"/>
              </c:ext>
            </c:extLst>
          </c:dPt>
          <c:dPt>
            <c:idx val="38"/>
            <c:invertIfNegative val="0"/>
            <c:bubble3D val="0"/>
            <c:spPr>
              <a:solidFill>
                <a:srgbClr val="0070C0"/>
              </a:solidFill>
              <a:ln>
                <a:noFill/>
              </a:ln>
              <a:effectLst/>
            </c:spPr>
            <c:extLst>
              <c:ext xmlns:c16="http://schemas.microsoft.com/office/drawing/2014/chart" uri="{C3380CC4-5D6E-409C-BE32-E72D297353CC}">
                <c16:uniqueId val="{00000089-11D2-43B3-80E7-5CD7CC176A33}"/>
              </c:ext>
            </c:extLst>
          </c:dPt>
          <c:dPt>
            <c:idx val="41"/>
            <c:invertIfNegative val="0"/>
            <c:bubble3D val="0"/>
            <c:spPr>
              <a:solidFill>
                <a:srgbClr val="FF0000"/>
              </a:solidFill>
              <a:ln>
                <a:noFill/>
              </a:ln>
              <a:effectLst/>
            </c:spPr>
            <c:extLst>
              <c:ext xmlns:c16="http://schemas.microsoft.com/office/drawing/2014/chart" uri="{C3380CC4-5D6E-409C-BE32-E72D297353CC}">
                <c16:uniqueId val="{0000008B-11D2-43B3-80E7-5CD7CC176A33}"/>
              </c:ext>
            </c:extLst>
          </c:dPt>
          <c:dPt>
            <c:idx val="42"/>
            <c:invertIfNegative val="0"/>
            <c:bubble3D val="0"/>
            <c:spPr>
              <a:solidFill>
                <a:srgbClr val="0070C0"/>
              </a:solidFill>
              <a:ln>
                <a:noFill/>
              </a:ln>
              <a:effectLst/>
            </c:spPr>
            <c:extLst>
              <c:ext xmlns:c16="http://schemas.microsoft.com/office/drawing/2014/chart" uri="{C3380CC4-5D6E-409C-BE32-E72D297353CC}">
                <c16:uniqueId val="{0000008D-11D2-43B3-80E7-5CD7CC176A33}"/>
              </c:ext>
            </c:extLst>
          </c:dPt>
          <c:dPt>
            <c:idx val="45"/>
            <c:invertIfNegative val="0"/>
            <c:bubble3D val="0"/>
            <c:spPr>
              <a:solidFill>
                <a:srgbClr val="FF0000"/>
              </a:solidFill>
              <a:ln>
                <a:noFill/>
              </a:ln>
              <a:effectLst/>
            </c:spPr>
            <c:extLst>
              <c:ext xmlns:c16="http://schemas.microsoft.com/office/drawing/2014/chart" uri="{C3380CC4-5D6E-409C-BE32-E72D297353CC}">
                <c16:uniqueId val="{0000008F-11D2-43B3-80E7-5CD7CC176A33}"/>
              </c:ext>
            </c:extLst>
          </c:dPt>
          <c:dPt>
            <c:idx val="46"/>
            <c:invertIfNegative val="0"/>
            <c:bubble3D val="0"/>
            <c:spPr>
              <a:solidFill>
                <a:srgbClr val="0070C0"/>
              </a:solidFill>
              <a:ln>
                <a:noFill/>
              </a:ln>
              <a:effectLst/>
            </c:spPr>
            <c:extLst>
              <c:ext xmlns:c16="http://schemas.microsoft.com/office/drawing/2014/chart" uri="{C3380CC4-5D6E-409C-BE32-E72D297353CC}">
                <c16:uniqueId val="{00000091-11D2-43B3-80E7-5CD7CC176A33}"/>
              </c:ext>
            </c:extLst>
          </c:dPt>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CALCULATIONS!$O$55:$O$102</c:f>
              <c:numCache>
                <c:formatCode>_ * #,##0_ ;_ * \-#,##0_ ;_ * "-"??_ ;_ @_ </c:formatCode>
                <c:ptCount val="48"/>
                <c:pt idx="0">
                  <c:v>200</c:v>
                </c:pt>
                <c:pt idx="1">
                  <c:v>0</c:v>
                </c:pt>
                <c:pt idx="2">
                  <c:v>300</c:v>
                </c:pt>
                <c:pt idx="4">
                  <c:v>0</c:v>
                </c:pt>
                <c:pt idx="5">
                  <c:v>110</c:v>
                </c:pt>
                <c:pt idx="6">
                  <c:v>0</c:v>
                </c:pt>
                <c:pt idx="8">
                  <c:v>100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2-11D2-43B3-80E7-5CD7CC176A33}"/>
            </c:ext>
          </c:extLst>
        </c:ser>
        <c:ser>
          <c:idx val="3"/>
          <c:order val="3"/>
          <c:spPr>
            <a:solidFill>
              <a:schemeClr val="bg1">
                <a:lumMod val="65000"/>
              </a:schemeClr>
            </a:solidFill>
            <a:ln>
              <a:noFill/>
            </a:ln>
            <a:effectLst/>
          </c:spPr>
          <c:invertIfNegative val="0"/>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CALCULATIONS!$P$55:$P$102</c:f>
              <c:numCache>
                <c:formatCode>_ * #,##0_ ;_ * \-#,##0_ ;_ * "-"??_ ;_ @_ </c:formatCode>
                <c:ptCount val="48"/>
                <c:pt idx="0">
                  <c:v>4650</c:v>
                </c:pt>
                <c:pt idx="1">
                  <c:v>2800</c:v>
                </c:pt>
                <c:pt idx="2">
                  <c:v>1750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3-11D2-43B3-80E7-5CD7CC176A33}"/>
            </c:ext>
          </c:extLst>
        </c:ser>
        <c:ser>
          <c:idx val="4"/>
          <c:order val="4"/>
          <c:spPr>
            <a:solidFill>
              <a:schemeClr val="bg1">
                <a:lumMod val="85000"/>
              </a:schemeClr>
            </a:solidFill>
            <a:ln>
              <a:noFill/>
            </a:ln>
            <a:effectLst/>
          </c:spPr>
          <c:invertIfNegative val="0"/>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CALCULATIONS!$Q$55:$Q$102</c:f>
              <c:numCache>
                <c:formatCode>_ * #,##0_ ;_ * \-#,##0_ ;_ * "-"??_ ;_ @_ </c:formatCode>
                <c:ptCount val="48"/>
                <c:pt idx="0">
                  <c:v>0</c:v>
                </c:pt>
                <c:pt idx="1">
                  <c:v>100</c:v>
                </c:pt>
                <c:pt idx="2">
                  <c:v>0</c:v>
                </c:pt>
                <c:pt idx="4">
                  <c:v>0</c:v>
                </c:pt>
                <c:pt idx="5">
                  <c:v>100</c:v>
                </c:pt>
                <c:pt idx="6">
                  <c:v>0</c:v>
                </c:pt>
                <c:pt idx="8">
                  <c:v>0</c:v>
                </c:pt>
                <c:pt idx="9">
                  <c:v>100</c:v>
                </c:pt>
                <c:pt idx="10">
                  <c:v>0</c:v>
                </c:pt>
                <c:pt idx="12">
                  <c:v>0</c:v>
                </c:pt>
                <c:pt idx="13">
                  <c:v>100</c:v>
                </c:pt>
                <c:pt idx="14">
                  <c:v>0</c:v>
                </c:pt>
                <c:pt idx="16">
                  <c:v>0</c:v>
                </c:pt>
                <c:pt idx="17">
                  <c:v>100</c:v>
                </c:pt>
                <c:pt idx="18">
                  <c:v>0</c:v>
                </c:pt>
                <c:pt idx="20">
                  <c:v>0</c:v>
                </c:pt>
                <c:pt idx="21">
                  <c:v>100</c:v>
                </c:pt>
                <c:pt idx="22">
                  <c:v>0</c:v>
                </c:pt>
                <c:pt idx="24">
                  <c:v>0</c:v>
                </c:pt>
                <c:pt idx="25">
                  <c:v>100</c:v>
                </c:pt>
                <c:pt idx="26">
                  <c:v>0</c:v>
                </c:pt>
                <c:pt idx="28">
                  <c:v>0</c:v>
                </c:pt>
                <c:pt idx="29">
                  <c:v>100</c:v>
                </c:pt>
                <c:pt idx="30">
                  <c:v>0</c:v>
                </c:pt>
                <c:pt idx="32">
                  <c:v>0</c:v>
                </c:pt>
                <c:pt idx="33">
                  <c:v>100</c:v>
                </c:pt>
                <c:pt idx="34">
                  <c:v>0</c:v>
                </c:pt>
                <c:pt idx="36">
                  <c:v>0</c:v>
                </c:pt>
                <c:pt idx="37">
                  <c:v>100</c:v>
                </c:pt>
                <c:pt idx="38">
                  <c:v>0</c:v>
                </c:pt>
                <c:pt idx="40">
                  <c:v>0</c:v>
                </c:pt>
                <c:pt idx="41">
                  <c:v>100</c:v>
                </c:pt>
                <c:pt idx="42">
                  <c:v>0</c:v>
                </c:pt>
                <c:pt idx="44">
                  <c:v>0</c:v>
                </c:pt>
                <c:pt idx="45">
                  <c:v>100</c:v>
                </c:pt>
                <c:pt idx="46">
                  <c:v>0</c:v>
                </c:pt>
              </c:numCache>
            </c:numRef>
          </c:val>
          <c:extLst>
            <c:ext xmlns:c16="http://schemas.microsoft.com/office/drawing/2014/chart" uri="{C3380CC4-5D6E-409C-BE32-E72D297353CC}">
              <c16:uniqueId val="{00000094-11D2-43B3-80E7-5CD7CC176A33}"/>
            </c:ext>
          </c:extLst>
        </c:ser>
        <c:ser>
          <c:idx val="5"/>
          <c:order val="5"/>
          <c:spPr>
            <a:solidFill>
              <a:schemeClr val="bg1">
                <a:lumMod val="65000"/>
              </a:schemeClr>
            </a:solidFill>
            <a:ln>
              <a:noFill/>
            </a:ln>
            <a:effectLst/>
          </c:spPr>
          <c:invertIfNegative val="0"/>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CALCULATIONS!$R$55:$R$102</c:f>
              <c:numCache>
                <c:formatCode>_ * #,##0_ ;_ * \-#,##0_ ;_ * "-"??_ ;_ @_ </c:formatCode>
                <c:ptCount val="48"/>
                <c:pt idx="0">
                  <c:v>200</c:v>
                </c:pt>
                <c:pt idx="1">
                  <c:v>0</c:v>
                </c:pt>
                <c:pt idx="2">
                  <c:v>300</c:v>
                </c:pt>
                <c:pt idx="4">
                  <c:v>201</c:v>
                </c:pt>
                <c:pt idx="5">
                  <c:v>0</c:v>
                </c:pt>
                <c:pt idx="6">
                  <c:v>301</c:v>
                </c:pt>
                <c:pt idx="8">
                  <c:v>202</c:v>
                </c:pt>
                <c:pt idx="9">
                  <c:v>0</c:v>
                </c:pt>
                <c:pt idx="10">
                  <c:v>302</c:v>
                </c:pt>
                <c:pt idx="12">
                  <c:v>203</c:v>
                </c:pt>
                <c:pt idx="13">
                  <c:v>0</c:v>
                </c:pt>
                <c:pt idx="14">
                  <c:v>303</c:v>
                </c:pt>
                <c:pt idx="16">
                  <c:v>204</c:v>
                </c:pt>
                <c:pt idx="17">
                  <c:v>0</c:v>
                </c:pt>
                <c:pt idx="18">
                  <c:v>304</c:v>
                </c:pt>
                <c:pt idx="20">
                  <c:v>205</c:v>
                </c:pt>
                <c:pt idx="21">
                  <c:v>0</c:v>
                </c:pt>
                <c:pt idx="22">
                  <c:v>305</c:v>
                </c:pt>
                <c:pt idx="24">
                  <c:v>206</c:v>
                </c:pt>
                <c:pt idx="25">
                  <c:v>0</c:v>
                </c:pt>
                <c:pt idx="26">
                  <c:v>306</c:v>
                </c:pt>
                <c:pt idx="28">
                  <c:v>207</c:v>
                </c:pt>
                <c:pt idx="29">
                  <c:v>0</c:v>
                </c:pt>
                <c:pt idx="30">
                  <c:v>307</c:v>
                </c:pt>
                <c:pt idx="32">
                  <c:v>208</c:v>
                </c:pt>
                <c:pt idx="33">
                  <c:v>0</c:v>
                </c:pt>
                <c:pt idx="34">
                  <c:v>308</c:v>
                </c:pt>
                <c:pt idx="36">
                  <c:v>209</c:v>
                </c:pt>
                <c:pt idx="37">
                  <c:v>0</c:v>
                </c:pt>
                <c:pt idx="38">
                  <c:v>309</c:v>
                </c:pt>
                <c:pt idx="40">
                  <c:v>210</c:v>
                </c:pt>
                <c:pt idx="41">
                  <c:v>0</c:v>
                </c:pt>
                <c:pt idx="42">
                  <c:v>310</c:v>
                </c:pt>
                <c:pt idx="44">
                  <c:v>211</c:v>
                </c:pt>
                <c:pt idx="45">
                  <c:v>0</c:v>
                </c:pt>
                <c:pt idx="46">
                  <c:v>311</c:v>
                </c:pt>
              </c:numCache>
            </c:numRef>
          </c:val>
          <c:extLst>
            <c:ext xmlns:c16="http://schemas.microsoft.com/office/drawing/2014/chart" uri="{C3380CC4-5D6E-409C-BE32-E72D297353CC}">
              <c16:uniqueId val="{00000095-11D2-43B3-80E7-5CD7CC176A33}"/>
            </c:ext>
          </c:extLst>
        </c:ser>
        <c:dLbls>
          <c:showLegendKey val="0"/>
          <c:showVal val="0"/>
          <c:showCatName val="0"/>
          <c:showSerName val="0"/>
          <c:showPercent val="0"/>
          <c:showBubbleSize val="0"/>
        </c:dLbls>
        <c:gapWidth val="15"/>
        <c:overlap val="100"/>
        <c:axId val="1733939039"/>
        <c:axId val="1733950559"/>
      </c:barChart>
      <c:catAx>
        <c:axId val="1733939039"/>
        <c:scaling>
          <c:orientation val="minMax"/>
        </c:scaling>
        <c:delete val="0"/>
        <c:axPos val="b"/>
        <c:numFmt formatCode="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950559"/>
        <c:crosses val="autoZero"/>
        <c:auto val="0"/>
        <c:lblAlgn val="ctr"/>
        <c:lblOffset val="100"/>
        <c:noMultiLvlLbl val="0"/>
      </c:catAx>
      <c:valAx>
        <c:axId val="1733950559"/>
        <c:scaling>
          <c:orientation val="minMax"/>
        </c:scaling>
        <c:delete val="0"/>
        <c:axPos val="l"/>
        <c:majorGridlines>
          <c:spPr>
            <a:ln w="9525" cap="flat" cmpd="sng" algn="ctr">
              <a:no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939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0.13866634638744141"/>
          <c:w val="0.71297459609444103"/>
          <c:h val="0.23733509486907223"/>
        </c:manualLayout>
      </c:layout>
      <c:barChart>
        <c:barDir val="bar"/>
        <c:grouping val="clustered"/>
        <c:varyColors val="0"/>
        <c:ser>
          <c:idx val="0"/>
          <c:order val="0"/>
          <c:spPr>
            <a:solidFill>
              <a:schemeClr val="bg1">
                <a:lumMod val="65000"/>
              </a:schemeClr>
            </a:solidFill>
            <a:ln>
              <a:noFill/>
            </a:ln>
            <a:effectLst/>
          </c:spPr>
          <c:invertIfNegative val="0"/>
          <c:val>
            <c:numRef>
              <c:f>CALCULATIONS!$E$24</c:f>
              <c:numCache>
                <c:formatCode>0%</c:formatCode>
                <c:ptCount val="1"/>
                <c:pt idx="0">
                  <c:v>0.20273972602739726</c:v>
                </c:pt>
              </c:numCache>
            </c:numRef>
          </c:val>
          <c:extLst>
            <c:ext xmlns:c16="http://schemas.microsoft.com/office/drawing/2014/chart" uri="{C3380CC4-5D6E-409C-BE32-E72D297353CC}">
              <c16:uniqueId val="{00000000-9B2C-4BB6-A6AA-D06B3FDDAED7}"/>
            </c:ext>
          </c:extLst>
        </c:ser>
        <c:dLbls>
          <c:showLegendKey val="0"/>
          <c:showVal val="0"/>
          <c:showCatName val="0"/>
          <c:showSerName val="0"/>
          <c:showPercent val="0"/>
          <c:showBubbleSize val="0"/>
        </c:dLbls>
        <c:gapWidth val="0"/>
        <c:overlap val="4"/>
        <c:axId val="1723998399"/>
        <c:axId val="1724014239"/>
      </c:barChart>
      <c:catAx>
        <c:axId val="1723998399"/>
        <c:scaling>
          <c:orientation val="minMax"/>
        </c:scaling>
        <c:delete val="1"/>
        <c:axPos val="l"/>
        <c:numFmt formatCode="General" sourceLinked="1"/>
        <c:majorTickMark val="none"/>
        <c:minorTickMark val="none"/>
        <c:tickLblPos val="nextTo"/>
        <c:crossAx val="1724014239"/>
        <c:crosses val="autoZero"/>
        <c:auto val="1"/>
        <c:lblAlgn val="ctr"/>
        <c:lblOffset val="100"/>
        <c:noMultiLvlLbl val="0"/>
      </c:catAx>
      <c:valAx>
        <c:axId val="1724014239"/>
        <c:scaling>
          <c:orientation val="minMax"/>
          <c:max val="1"/>
        </c:scaling>
        <c:delete val="1"/>
        <c:axPos val="b"/>
        <c:majorGridlines>
          <c:spPr>
            <a:ln w="9525" cap="flat" cmpd="sng" algn="ctr">
              <a:noFill/>
              <a:round/>
            </a:ln>
            <a:effectLst/>
          </c:spPr>
        </c:majorGridlines>
        <c:numFmt formatCode="0%" sourceLinked="1"/>
        <c:majorTickMark val="none"/>
        <c:minorTickMark val="none"/>
        <c:tickLblPos val="nextTo"/>
        <c:crossAx val="172399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B050"/>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6-75D0-4D4D-984C-E503ABE873A6}"/>
              </c:ext>
            </c:extLst>
          </c:dPt>
          <c:dPt>
            <c:idx val="2"/>
            <c:invertIfNegative val="0"/>
            <c:bubble3D val="0"/>
            <c:spPr>
              <a:solidFill>
                <a:srgbClr val="0070C0"/>
              </a:solidFill>
              <a:ln>
                <a:noFill/>
              </a:ln>
              <a:effectLst/>
            </c:spPr>
            <c:extLst>
              <c:ext xmlns:c16="http://schemas.microsoft.com/office/drawing/2014/chart" uri="{C3380CC4-5D6E-409C-BE32-E72D297353CC}">
                <c16:uniqueId val="{00000009-75D0-4D4D-984C-E503ABE873A6}"/>
              </c:ext>
            </c:extLst>
          </c:dPt>
          <c:dPt>
            <c:idx val="5"/>
            <c:invertIfNegative val="0"/>
            <c:bubble3D val="0"/>
            <c:spPr>
              <a:solidFill>
                <a:srgbClr val="FF0000"/>
              </a:solidFill>
              <a:ln>
                <a:noFill/>
              </a:ln>
              <a:effectLst/>
            </c:spPr>
            <c:extLst>
              <c:ext xmlns:c16="http://schemas.microsoft.com/office/drawing/2014/chart" uri="{C3380CC4-5D6E-409C-BE32-E72D297353CC}">
                <c16:uniqueId val="{0000000C-75D0-4D4D-984C-E503ABE873A6}"/>
              </c:ext>
            </c:extLst>
          </c:dPt>
          <c:dPt>
            <c:idx val="6"/>
            <c:invertIfNegative val="0"/>
            <c:bubble3D val="0"/>
            <c:spPr>
              <a:solidFill>
                <a:srgbClr val="0070C0"/>
              </a:solidFill>
              <a:ln>
                <a:noFill/>
              </a:ln>
              <a:effectLst/>
            </c:spPr>
            <c:extLst>
              <c:ext xmlns:c16="http://schemas.microsoft.com/office/drawing/2014/chart" uri="{C3380CC4-5D6E-409C-BE32-E72D297353CC}">
                <c16:uniqueId val="{0000002D-75D0-4D4D-984C-E503ABE873A6}"/>
              </c:ext>
            </c:extLst>
          </c:dPt>
          <c:dPt>
            <c:idx val="9"/>
            <c:invertIfNegative val="0"/>
            <c:bubble3D val="0"/>
            <c:spPr>
              <a:solidFill>
                <a:srgbClr val="FF0000"/>
              </a:solidFill>
              <a:ln>
                <a:noFill/>
              </a:ln>
              <a:effectLst/>
            </c:spPr>
            <c:extLst>
              <c:ext xmlns:c16="http://schemas.microsoft.com/office/drawing/2014/chart" uri="{C3380CC4-5D6E-409C-BE32-E72D297353CC}">
                <c16:uniqueId val="{0000000D-75D0-4D4D-984C-E503ABE873A6}"/>
              </c:ext>
            </c:extLst>
          </c:dPt>
          <c:dPt>
            <c:idx val="10"/>
            <c:invertIfNegative val="0"/>
            <c:bubble3D val="0"/>
            <c:spPr>
              <a:solidFill>
                <a:srgbClr val="0070C0"/>
              </a:solidFill>
              <a:ln>
                <a:noFill/>
              </a:ln>
              <a:effectLst/>
            </c:spPr>
            <c:extLst>
              <c:ext xmlns:c16="http://schemas.microsoft.com/office/drawing/2014/chart" uri="{C3380CC4-5D6E-409C-BE32-E72D297353CC}">
                <c16:uniqueId val="{0000002E-75D0-4D4D-984C-E503ABE873A6}"/>
              </c:ext>
            </c:extLst>
          </c:dPt>
          <c:dPt>
            <c:idx val="13"/>
            <c:invertIfNegative val="0"/>
            <c:bubble3D val="0"/>
            <c:spPr>
              <a:solidFill>
                <a:srgbClr val="FF0000"/>
              </a:solidFill>
              <a:ln>
                <a:noFill/>
              </a:ln>
              <a:effectLst/>
            </c:spPr>
            <c:extLst>
              <c:ext xmlns:c16="http://schemas.microsoft.com/office/drawing/2014/chart" uri="{C3380CC4-5D6E-409C-BE32-E72D297353CC}">
                <c16:uniqueId val="{0000000E-75D0-4D4D-984C-E503ABE873A6}"/>
              </c:ext>
            </c:extLst>
          </c:dPt>
          <c:dPt>
            <c:idx val="14"/>
            <c:invertIfNegative val="0"/>
            <c:bubble3D val="0"/>
            <c:spPr>
              <a:solidFill>
                <a:srgbClr val="0070C0"/>
              </a:solidFill>
              <a:ln>
                <a:noFill/>
              </a:ln>
              <a:effectLst/>
            </c:spPr>
            <c:extLst>
              <c:ext xmlns:c16="http://schemas.microsoft.com/office/drawing/2014/chart" uri="{C3380CC4-5D6E-409C-BE32-E72D297353CC}">
                <c16:uniqueId val="{0000002F-75D0-4D4D-984C-E503ABE873A6}"/>
              </c:ext>
            </c:extLst>
          </c:dPt>
          <c:dPt>
            <c:idx val="17"/>
            <c:invertIfNegative val="0"/>
            <c:bubble3D val="0"/>
            <c:spPr>
              <a:solidFill>
                <a:srgbClr val="FF0000"/>
              </a:solidFill>
              <a:ln>
                <a:noFill/>
              </a:ln>
              <a:effectLst/>
            </c:spPr>
            <c:extLst>
              <c:ext xmlns:c16="http://schemas.microsoft.com/office/drawing/2014/chart" uri="{C3380CC4-5D6E-409C-BE32-E72D297353CC}">
                <c16:uniqueId val="{0000000F-75D0-4D4D-984C-E503ABE873A6}"/>
              </c:ext>
            </c:extLst>
          </c:dPt>
          <c:dPt>
            <c:idx val="18"/>
            <c:invertIfNegative val="0"/>
            <c:bubble3D val="0"/>
            <c:spPr>
              <a:solidFill>
                <a:srgbClr val="0070C0"/>
              </a:solidFill>
              <a:ln>
                <a:noFill/>
              </a:ln>
              <a:effectLst/>
            </c:spPr>
            <c:extLst>
              <c:ext xmlns:c16="http://schemas.microsoft.com/office/drawing/2014/chart" uri="{C3380CC4-5D6E-409C-BE32-E72D297353CC}">
                <c16:uniqueId val="{00000030-75D0-4D4D-984C-E503ABE873A6}"/>
              </c:ext>
            </c:extLst>
          </c:dPt>
          <c:dPt>
            <c:idx val="21"/>
            <c:invertIfNegative val="0"/>
            <c:bubble3D val="0"/>
            <c:spPr>
              <a:solidFill>
                <a:srgbClr val="FF0000"/>
              </a:solidFill>
              <a:ln>
                <a:noFill/>
              </a:ln>
              <a:effectLst/>
            </c:spPr>
            <c:extLst>
              <c:ext xmlns:c16="http://schemas.microsoft.com/office/drawing/2014/chart" uri="{C3380CC4-5D6E-409C-BE32-E72D297353CC}">
                <c16:uniqueId val="{00000010-75D0-4D4D-984C-E503ABE873A6}"/>
              </c:ext>
            </c:extLst>
          </c:dPt>
          <c:dPt>
            <c:idx val="22"/>
            <c:invertIfNegative val="0"/>
            <c:bubble3D val="0"/>
            <c:spPr>
              <a:solidFill>
                <a:srgbClr val="0070C0"/>
              </a:solidFill>
              <a:ln>
                <a:noFill/>
              </a:ln>
              <a:effectLst/>
            </c:spPr>
            <c:extLst>
              <c:ext xmlns:c16="http://schemas.microsoft.com/office/drawing/2014/chart" uri="{C3380CC4-5D6E-409C-BE32-E72D297353CC}">
                <c16:uniqueId val="{00000031-75D0-4D4D-984C-E503ABE873A6}"/>
              </c:ext>
            </c:extLst>
          </c:dPt>
          <c:dPt>
            <c:idx val="25"/>
            <c:invertIfNegative val="0"/>
            <c:bubble3D val="0"/>
            <c:spPr>
              <a:solidFill>
                <a:srgbClr val="FF0000"/>
              </a:solidFill>
              <a:ln>
                <a:noFill/>
              </a:ln>
              <a:effectLst/>
            </c:spPr>
            <c:extLst>
              <c:ext xmlns:c16="http://schemas.microsoft.com/office/drawing/2014/chart" uri="{C3380CC4-5D6E-409C-BE32-E72D297353CC}">
                <c16:uniqueId val="{00000011-75D0-4D4D-984C-E503ABE873A6}"/>
              </c:ext>
            </c:extLst>
          </c:dPt>
          <c:dPt>
            <c:idx val="26"/>
            <c:invertIfNegative val="0"/>
            <c:bubble3D val="0"/>
            <c:spPr>
              <a:solidFill>
                <a:srgbClr val="0070C0"/>
              </a:solidFill>
              <a:ln>
                <a:noFill/>
              </a:ln>
              <a:effectLst/>
            </c:spPr>
            <c:extLst>
              <c:ext xmlns:c16="http://schemas.microsoft.com/office/drawing/2014/chart" uri="{C3380CC4-5D6E-409C-BE32-E72D297353CC}">
                <c16:uniqueId val="{00000032-75D0-4D4D-984C-E503ABE873A6}"/>
              </c:ext>
            </c:extLst>
          </c:dPt>
          <c:dPt>
            <c:idx val="29"/>
            <c:invertIfNegative val="0"/>
            <c:bubble3D val="0"/>
            <c:spPr>
              <a:solidFill>
                <a:srgbClr val="FF0000"/>
              </a:solidFill>
              <a:ln>
                <a:noFill/>
              </a:ln>
              <a:effectLst/>
            </c:spPr>
            <c:extLst>
              <c:ext xmlns:c16="http://schemas.microsoft.com/office/drawing/2014/chart" uri="{C3380CC4-5D6E-409C-BE32-E72D297353CC}">
                <c16:uniqueId val="{00000012-75D0-4D4D-984C-E503ABE873A6}"/>
              </c:ext>
            </c:extLst>
          </c:dPt>
          <c:dPt>
            <c:idx val="30"/>
            <c:invertIfNegative val="0"/>
            <c:bubble3D val="0"/>
            <c:spPr>
              <a:solidFill>
                <a:srgbClr val="0070C0"/>
              </a:solidFill>
              <a:ln>
                <a:noFill/>
              </a:ln>
              <a:effectLst/>
            </c:spPr>
            <c:extLst>
              <c:ext xmlns:c16="http://schemas.microsoft.com/office/drawing/2014/chart" uri="{C3380CC4-5D6E-409C-BE32-E72D297353CC}">
                <c16:uniqueId val="{00000033-75D0-4D4D-984C-E503ABE873A6}"/>
              </c:ext>
            </c:extLst>
          </c:dPt>
          <c:dPt>
            <c:idx val="33"/>
            <c:invertIfNegative val="0"/>
            <c:bubble3D val="0"/>
            <c:spPr>
              <a:solidFill>
                <a:srgbClr val="FF0000"/>
              </a:solidFill>
              <a:ln>
                <a:noFill/>
              </a:ln>
              <a:effectLst/>
            </c:spPr>
            <c:extLst>
              <c:ext xmlns:c16="http://schemas.microsoft.com/office/drawing/2014/chart" uri="{C3380CC4-5D6E-409C-BE32-E72D297353CC}">
                <c16:uniqueId val="{00000013-75D0-4D4D-984C-E503ABE873A6}"/>
              </c:ext>
            </c:extLst>
          </c:dPt>
          <c:dPt>
            <c:idx val="34"/>
            <c:invertIfNegative val="0"/>
            <c:bubble3D val="0"/>
            <c:spPr>
              <a:solidFill>
                <a:srgbClr val="0070C0"/>
              </a:solidFill>
              <a:ln>
                <a:noFill/>
              </a:ln>
              <a:effectLst/>
            </c:spPr>
            <c:extLst>
              <c:ext xmlns:c16="http://schemas.microsoft.com/office/drawing/2014/chart" uri="{C3380CC4-5D6E-409C-BE32-E72D297353CC}">
                <c16:uniqueId val="{00000034-75D0-4D4D-984C-E503ABE873A6}"/>
              </c:ext>
            </c:extLst>
          </c:dPt>
          <c:dPt>
            <c:idx val="37"/>
            <c:invertIfNegative val="0"/>
            <c:bubble3D val="0"/>
            <c:spPr>
              <a:solidFill>
                <a:srgbClr val="FF0000"/>
              </a:solidFill>
              <a:ln>
                <a:noFill/>
              </a:ln>
              <a:effectLst/>
            </c:spPr>
            <c:extLst>
              <c:ext xmlns:c16="http://schemas.microsoft.com/office/drawing/2014/chart" uri="{C3380CC4-5D6E-409C-BE32-E72D297353CC}">
                <c16:uniqueId val="{00000014-75D0-4D4D-984C-E503ABE873A6}"/>
              </c:ext>
            </c:extLst>
          </c:dPt>
          <c:dPt>
            <c:idx val="38"/>
            <c:invertIfNegative val="0"/>
            <c:bubble3D val="0"/>
            <c:spPr>
              <a:solidFill>
                <a:srgbClr val="0070C0"/>
              </a:solidFill>
              <a:ln>
                <a:noFill/>
              </a:ln>
              <a:effectLst/>
            </c:spPr>
            <c:extLst>
              <c:ext xmlns:c16="http://schemas.microsoft.com/office/drawing/2014/chart" uri="{C3380CC4-5D6E-409C-BE32-E72D297353CC}">
                <c16:uniqueId val="{00000035-75D0-4D4D-984C-E503ABE873A6}"/>
              </c:ext>
            </c:extLst>
          </c:dPt>
          <c:dPt>
            <c:idx val="41"/>
            <c:invertIfNegative val="0"/>
            <c:bubble3D val="0"/>
            <c:spPr>
              <a:solidFill>
                <a:srgbClr val="FF0000"/>
              </a:solidFill>
              <a:ln>
                <a:noFill/>
              </a:ln>
              <a:effectLst/>
            </c:spPr>
            <c:extLst>
              <c:ext xmlns:c16="http://schemas.microsoft.com/office/drawing/2014/chart" uri="{C3380CC4-5D6E-409C-BE32-E72D297353CC}">
                <c16:uniqueId val="{00000015-75D0-4D4D-984C-E503ABE873A6}"/>
              </c:ext>
            </c:extLst>
          </c:dPt>
          <c:dPt>
            <c:idx val="42"/>
            <c:invertIfNegative val="0"/>
            <c:bubble3D val="0"/>
            <c:spPr>
              <a:solidFill>
                <a:srgbClr val="0070C0"/>
              </a:solidFill>
              <a:ln>
                <a:noFill/>
              </a:ln>
              <a:effectLst/>
            </c:spPr>
            <c:extLst>
              <c:ext xmlns:c16="http://schemas.microsoft.com/office/drawing/2014/chart" uri="{C3380CC4-5D6E-409C-BE32-E72D297353CC}">
                <c16:uniqueId val="{00000036-75D0-4D4D-984C-E503ABE873A6}"/>
              </c:ext>
            </c:extLst>
          </c:dPt>
          <c:dPt>
            <c:idx val="45"/>
            <c:invertIfNegative val="0"/>
            <c:bubble3D val="0"/>
            <c:spPr>
              <a:solidFill>
                <a:srgbClr val="FF0000"/>
              </a:solidFill>
              <a:ln>
                <a:noFill/>
              </a:ln>
              <a:effectLst/>
            </c:spPr>
            <c:extLst>
              <c:ext xmlns:c16="http://schemas.microsoft.com/office/drawing/2014/chart" uri="{C3380CC4-5D6E-409C-BE32-E72D297353CC}">
                <c16:uniqueId val="{00000016-75D0-4D4D-984C-E503ABE873A6}"/>
              </c:ext>
            </c:extLst>
          </c:dPt>
          <c:dPt>
            <c:idx val="46"/>
            <c:invertIfNegative val="0"/>
            <c:bubble3D val="0"/>
            <c:spPr>
              <a:solidFill>
                <a:srgbClr val="0070C0"/>
              </a:solidFill>
              <a:ln>
                <a:noFill/>
              </a:ln>
              <a:effectLst/>
            </c:spPr>
            <c:extLst>
              <c:ext xmlns:c16="http://schemas.microsoft.com/office/drawing/2014/chart" uri="{C3380CC4-5D6E-409C-BE32-E72D297353CC}">
                <c16:uniqueId val="{00000037-75D0-4D4D-984C-E503ABE873A6}"/>
              </c:ext>
            </c:extLst>
          </c:dPt>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CALCULATIONS!$M$55:$M$102</c:f>
              <c:numCache>
                <c:formatCode>_ * #,##0_ ;_ * \-#,##0_ ;_ * "-"??_ ;_ @_ </c:formatCode>
                <c:ptCount val="48"/>
                <c:pt idx="0">
                  <c:v>0</c:v>
                </c:pt>
                <c:pt idx="1">
                  <c:v>0</c:v>
                </c:pt>
                <c:pt idx="2">
                  <c:v>0</c:v>
                </c:pt>
                <c:pt idx="4">
                  <c:v>4050</c:v>
                </c:pt>
                <c:pt idx="5">
                  <c:v>2900</c:v>
                </c:pt>
                <c:pt idx="6">
                  <c:v>1040</c:v>
                </c:pt>
                <c:pt idx="8">
                  <c:v>4600</c:v>
                </c:pt>
                <c:pt idx="9">
                  <c:v>2080</c:v>
                </c:pt>
                <c:pt idx="10">
                  <c:v>1550</c:v>
                </c:pt>
                <c:pt idx="12">
                  <c:v>0</c:v>
                </c:pt>
                <c:pt idx="13">
                  <c:v>0</c:v>
                </c:pt>
                <c:pt idx="14">
                  <c:v>0</c:v>
                </c:pt>
                <c:pt idx="16">
                  <c:v>5550</c:v>
                </c:pt>
                <c:pt idx="17">
                  <c:v>2900</c:v>
                </c:pt>
                <c:pt idx="18">
                  <c:v>2650</c:v>
                </c:pt>
                <c:pt idx="20">
                  <c:v>5600</c:v>
                </c:pt>
                <c:pt idx="21">
                  <c:v>3050</c:v>
                </c:pt>
                <c:pt idx="22">
                  <c:v>2550</c:v>
                </c:pt>
                <c:pt idx="24">
                  <c:v>5650</c:v>
                </c:pt>
                <c:pt idx="25">
                  <c:v>2900</c:v>
                </c:pt>
                <c:pt idx="26">
                  <c:v>2750</c:v>
                </c:pt>
                <c:pt idx="28">
                  <c:v>5550</c:v>
                </c:pt>
                <c:pt idx="29">
                  <c:v>4100</c:v>
                </c:pt>
                <c:pt idx="30">
                  <c:v>1450</c:v>
                </c:pt>
                <c:pt idx="32">
                  <c:v>5600</c:v>
                </c:pt>
                <c:pt idx="33">
                  <c:v>3050</c:v>
                </c:pt>
                <c:pt idx="34">
                  <c:v>2550</c:v>
                </c:pt>
                <c:pt idx="36">
                  <c:v>5650</c:v>
                </c:pt>
                <c:pt idx="37">
                  <c:v>2900</c:v>
                </c:pt>
                <c:pt idx="38">
                  <c:v>2750</c:v>
                </c:pt>
                <c:pt idx="40">
                  <c:v>5550</c:v>
                </c:pt>
                <c:pt idx="41">
                  <c:v>2900</c:v>
                </c:pt>
                <c:pt idx="42">
                  <c:v>2650</c:v>
                </c:pt>
                <c:pt idx="44">
                  <c:v>5600</c:v>
                </c:pt>
                <c:pt idx="45">
                  <c:v>3350</c:v>
                </c:pt>
                <c:pt idx="46">
                  <c:v>2250</c:v>
                </c:pt>
              </c:numCache>
            </c:numRef>
          </c:val>
          <c:extLst>
            <c:ext xmlns:c16="http://schemas.microsoft.com/office/drawing/2014/chart" uri="{C3380CC4-5D6E-409C-BE32-E72D297353CC}">
              <c16:uniqueId val="{00000000-75D0-4D4D-984C-E503ABE873A6}"/>
            </c:ext>
          </c:extLst>
        </c:ser>
        <c:ser>
          <c:idx val="1"/>
          <c:order val="1"/>
          <c:spPr>
            <a:solidFill>
              <a:srgbClr val="92D050"/>
            </a:solidFill>
            <a:ln>
              <a:noFill/>
            </a:ln>
            <a:effectLst/>
          </c:spPr>
          <c:invertIfNegative val="0"/>
          <c:dPt>
            <c:idx val="1"/>
            <c:invertIfNegative val="0"/>
            <c:bubble3D val="0"/>
            <c:spPr>
              <a:solidFill>
                <a:srgbClr val="F84836"/>
              </a:solidFill>
              <a:ln>
                <a:noFill/>
              </a:ln>
              <a:effectLst/>
            </c:spPr>
            <c:extLst>
              <c:ext xmlns:c16="http://schemas.microsoft.com/office/drawing/2014/chart" uri="{C3380CC4-5D6E-409C-BE32-E72D297353CC}">
                <c16:uniqueId val="{00000007-75D0-4D4D-984C-E503ABE873A6}"/>
              </c:ext>
            </c:extLst>
          </c:dPt>
          <c:dPt>
            <c:idx val="2"/>
            <c:invertIfNegative val="0"/>
            <c:bubble3D val="0"/>
            <c:spPr>
              <a:solidFill>
                <a:srgbClr val="00B0F0"/>
              </a:solidFill>
              <a:ln>
                <a:noFill/>
              </a:ln>
              <a:effectLst/>
            </c:spPr>
            <c:extLst>
              <c:ext xmlns:c16="http://schemas.microsoft.com/office/drawing/2014/chart" uri="{C3380CC4-5D6E-409C-BE32-E72D297353CC}">
                <c16:uniqueId val="{0000000A-75D0-4D4D-984C-E503ABE873A6}"/>
              </c:ext>
            </c:extLst>
          </c:dPt>
          <c:dPt>
            <c:idx val="5"/>
            <c:invertIfNegative val="0"/>
            <c:bubble3D val="0"/>
            <c:spPr>
              <a:solidFill>
                <a:srgbClr val="F84836"/>
              </a:solidFill>
              <a:ln>
                <a:noFill/>
              </a:ln>
              <a:effectLst/>
            </c:spPr>
            <c:extLst>
              <c:ext xmlns:c16="http://schemas.microsoft.com/office/drawing/2014/chart" uri="{C3380CC4-5D6E-409C-BE32-E72D297353CC}">
                <c16:uniqueId val="{00000017-75D0-4D4D-984C-E503ABE873A6}"/>
              </c:ext>
            </c:extLst>
          </c:dPt>
          <c:dPt>
            <c:idx val="6"/>
            <c:invertIfNegative val="0"/>
            <c:bubble3D val="0"/>
            <c:spPr>
              <a:solidFill>
                <a:srgbClr val="00B0F0"/>
              </a:solidFill>
              <a:ln>
                <a:noFill/>
              </a:ln>
              <a:effectLst/>
            </c:spPr>
            <c:extLst>
              <c:ext xmlns:c16="http://schemas.microsoft.com/office/drawing/2014/chart" uri="{C3380CC4-5D6E-409C-BE32-E72D297353CC}">
                <c16:uniqueId val="{00000038-75D0-4D4D-984C-E503ABE873A6}"/>
              </c:ext>
            </c:extLst>
          </c:dPt>
          <c:dPt>
            <c:idx val="9"/>
            <c:invertIfNegative val="0"/>
            <c:bubble3D val="0"/>
            <c:spPr>
              <a:solidFill>
                <a:srgbClr val="FF0000"/>
              </a:solidFill>
              <a:ln>
                <a:noFill/>
              </a:ln>
              <a:effectLst/>
            </c:spPr>
            <c:extLst>
              <c:ext xmlns:c16="http://schemas.microsoft.com/office/drawing/2014/chart" uri="{C3380CC4-5D6E-409C-BE32-E72D297353CC}">
                <c16:uniqueId val="{00000018-75D0-4D4D-984C-E503ABE873A6}"/>
              </c:ext>
            </c:extLst>
          </c:dPt>
          <c:dPt>
            <c:idx val="10"/>
            <c:invertIfNegative val="0"/>
            <c:bubble3D val="0"/>
            <c:spPr>
              <a:solidFill>
                <a:srgbClr val="00B0F0"/>
              </a:solidFill>
              <a:ln>
                <a:noFill/>
              </a:ln>
              <a:effectLst/>
            </c:spPr>
            <c:extLst>
              <c:ext xmlns:c16="http://schemas.microsoft.com/office/drawing/2014/chart" uri="{C3380CC4-5D6E-409C-BE32-E72D297353CC}">
                <c16:uniqueId val="{00000039-75D0-4D4D-984C-E503ABE873A6}"/>
              </c:ext>
            </c:extLst>
          </c:dPt>
          <c:dPt>
            <c:idx val="13"/>
            <c:invertIfNegative val="0"/>
            <c:bubble3D val="0"/>
            <c:spPr>
              <a:solidFill>
                <a:srgbClr val="FF0000"/>
              </a:solidFill>
              <a:ln>
                <a:noFill/>
              </a:ln>
              <a:effectLst/>
            </c:spPr>
            <c:extLst>
              <c:ext xmlns:c16="http://schemas.microsoft.com/office/drawing/2014/chart" uri="{C3380CC4-5D6E-409C-BE32-E72D297353CC}">
                <c16:uniqueId val="{00000019-75D0-4D4D-984C-E503ABE873A6}"/>
              </c:ext>
            </c:extLst>
          </c:dPt>
          <c:dPt>
            <c:idx val="14"/>
            <c:invertIfNegative val="0"/>
            <c:bubble3D val="0"/>
            <c:spPr>
              <a:solidFill>
                <a:srgbClr val="00B0F0"/>
              </a:solidFill>
              <a:ln>
                <a:noFill/>
              </a:ln>
              <a:effectLst/>
            </c:spPr>
            <c:extLst>
              <c:ext xmlns:c16="http://schemas.microsoft.com/office/drawing/2014/chart" uri="{C3380CC4-5D6E-409C-BE32-E72D297353CC}">
                <c16:uniqueId val="{0000003A-75D0-4D4D-984C-E503ABE873A6}"/>
              </c:ext>
            </c:extLst>
          </c:dPt>
          <c:dPt>
            <c:idx val="17"/>
            <c:invertIfNegative val="0"/>
            <c:bubble3D val="0"/>
            <c:spPr>
              <a:solidFill>
                <a:srgbClr val="FF0000"/>
              </a:solidFill>
              <a:ln>
                <a:noFill/>
              </a:ln>
              <a:effectLst/>
            </c:spPr>
            <c:extLst>
              <c:ext xmlns:c16="http://schemas.microsoft.com/office/drawing/2014/chart" uri="{C3380CC4-5D6E-409C-BE32-E72D297353CC}">
                <c16:uniqueId val="{0000001A-75D0-4D4D-984C-E503ABE873A6}"/>
              </c:ext>
            </c:extLst>
          </c:dPt>
          <c:dPt>
            <c:idx val="18"/>
            <c:invertIfNegative val="0"/>
            <c:bubble3D val="0"/>
            <c:spPr>
              <a:solidFill>
                <a:srgbClr val="00B0F0"/>
              </a:solidFill>
              <a:ln>
                <a:noFill/>
              </a:ln>
              <a:effectLst/>
            </c:spPr>
            <c:extLst>
              <c:ext xmlns:c16="http://schemas.microsoft.com/office/drawing/2014/chart" uri="{C3380CC4-5D6E-409C-BE32-E72D297353CC}">
                <c16:uniqueId val="{0000003B-75D0-4D4D-984C-E503ABE873A6}"/>
              </c:ext>
            </c:extLst>
          </c:dPt>
          <c:dPt>
            <c:idx val="21"/>
            <c:invertIfNegative val="0"/>
            <c:bubble3D val="0"/>
            <c:spPr>
              <a:solidFill>
                <a:srgbClr val="FF0000"/>
              </a:solidFill>
              <a:ln>
                <a:noFill/>
              </a:ln>
              <a:effectLst/>
            </c:spPr>
            <c:extLst>
              <c:ext xmlns:c16="http://schemas.microsoft.com/office/drawing/2014/chart" uri="{C3380CC4-5D6E-409C-BE32-E72D297353CC}">
                <c16:uniqueId val="{0000001B-75D0-4D4D-984C-E503ABE873A6}"/>
              </c:ext>
            </c:extLst>
          </c:dPt>
          <c:dPt>
            <c:idx val="22"/>
            <c:invertIfNegative val="0"/>
            <c:bubble3D val="0"/>
            <c:spPr>
              <a:solidFill>
                <a:srgbClr val="00B0F0"/>
              </a:solidFill>
              <a:ln>
                <a:noFill/>
              </a:ln>
              <a:effectLst/>
            </c:spPr>
            <c:extLst>
              <c:ext xmlns:c16="http://schemas.microsoft.com/office/drawing/2014/chart" uri="{C3380CC4-5D6E-409C-BE32-E72D297353CC}">
                <c16:uniqueId val="{0000003C-75D0-4D4D-984C-E503ABE873A6}"/>
              </c:ext>
            </c:extLst>
          </c:dPt>
          <c:dPt>
            <c:idx val="25"/>
            <c:invertIfNegative val="0"/>
            <c:bubble3D val="0"/>
            <c:spPr>
              <a:solidFill>
                <a:srgbClr val="FF0000"/>
              </a:solidFill>
              <a:ln>
                <a:noFill/>
              </a:ln>
              <a:effectLst/>
            </c:spPr>
            <c:extLst>
              <c:ext xmlns:c16="http://schemas.microsoft.com/office/drawing/2014/chart" uri="{C3380CC4-5D6E-409C-BE32-E72D297353CC}">
                <c16:uniqueId val="{0000001C-75D0-4D4D-984C-E503ABE873A6}"/>
              </c:ext>
            </c:extLst>
          </c:dPt>
          <c:dPt>
            <c:idx val="26"/>
            <c:invertIfNegative val="0"/>
            <c:bubble3D val="0"/>
            <c:spPr>
              <a:solidFill>
                <a:srgbClr val="00B0F0"/>
              </a:solidFill>
              <a:ln>
                <a:noFill/>
              </a:ln>
              <a:effectLst/>
            </c:spPr>
            <c:extLst>
              <c:ext xmlns:c16="http://schemas.microsoft.com/office/drawing/2014/chart" uri="{C3380CC4-5D6E-409C-BE32-E72D297353CC}">
                <c16:uniqueId val="{0000003D-75D0-4D4D-984C-E503ABE873A6}"/>
              </c:ext>
            </c:extLst>
          </c:dPt>
          <c:dPt>
            <c:idx val="29"/>
            <c:invertIfNegative val="0"/>
            <c:bubble3D val="0"/>
            <c:spPr>
              <a:solidFill>
                <a:srgbClr val="FF0000"/>
              </a:solidFill>
              <a:ln>
                <a:noFill/>
              </a:ln>
              <a:effectLst/>
            </c:spPr>
            <c:extLst>
              <c:ext xmlns:c16="http://schemas.microsoft.com/office/drawing/2014/chart" uri="{C3380CC4-5D6E-409C-BE32-E72D297353CC}">
                <c16:uniqueId val="{0000001D-75D0-4D4D-984C-E503ABE873A6}"/>
              </c:ext>
            </c:extLst>
          </c:dPt>
          <c:dPt>
            <c:idx val="30"/>
            <c:invertIfNegative val="0"/>
            <c:bubble3D val="0"/>
            <c:spPr>
              <a:solidFill>
                <a:srgbClr val="00B0F0"/>
              </a:solidFill>
              <a:ln>
                <a:noFill/>
              </a:ln>
              <a:effectLst/>
            </c:spPr>
            <c:extLst>
              <c:ext xmlns:c16="http://schemas.microsoft.com/office/drawing/2014/chart" uri="{C3380CC4-5D6E-409C-BE32-E72D297353CC}">
                <c16:uniqueId val="{0000003E-75D0-4D4D-984C-E503ABE873A6}"/>
              </c:ext>
            </c:extLst>
          </c:dPt>
          <c:dPt>
            <c:idx val="33"/>
            <c:invertIfNegative val="0"/>
            <c:bubble3D val="0"/>
            <c:spPr>
              <a:solidFill>
                <a:srgbClr val="FF0000"/>
              </a:solidFill>
              <a:ln>
                <a:noFill/>
              </a:ln>
              <a:effectLst/>
            </c:spPr>
            <c:extLst>
              <c:ext xmlns:c16="http://schemas.microsoft.com/office/drawing/2014/chart" uri="{C3380CC4-5D6E-409C-BE32-E72D297353CC}">
                <c16:uniqueId val="{0000001E-75D0-4D4D-984C-E503ABE873A6}"/>
              </c:ext>
            </c:extLst>
          </c:dPt>
          <c:dPt>
            <c:idx val="34"/>
            <c:invertIfNegative val="0"/>
            <c:bubble3D val="0"/>
            <c:spPr>
              <a:solidFill>
                <a:srgbClr val="00B0F0"/>
              </a:solidFill>
              <a:ln>
                <a:noFill/>
              </a:ln>
              <a:effectLst/>
            </c:spPr>
            <c:extLst>
              <c:ext xmlns:c16="http://schemas.microsoft.com/office/drawing/2014/chart" uri="{C3380CC4-5D6E-409C-BE32-E72D297353CC}">
                <c16:uniqueId val="{0000003F-75D0-4D4D-984C-E503ABE873A6}"/>
              </c:ext>
            </c:extLst>
          </c:dPt>
          <c:dPt>
            <c:idx val="37"/>
            <c:invertIfNegative val="0"/>
            <c:bubble3D val="0"/>
            <c:spPr>
              <a:solidFill>
                <a:srgbClr val="FF0000"/>
              </a:solidFill>
              <a:ln>
                <a:noFill/>
              </a:ln>
              <a:effectLst/>
            </c:spPr>
            <c:extLst>
              <c:ext xmlns:c16="http://schemas.microsoft.com/office/drawing/2014/chart" uri="{C3380CC4-5D6E-409C-BE32-E72D297353CC}">
                <c16:uniqueId val="{0000001F-75D0-4D4D-984C-E503ABE873A6}"/>
              </c:ext>
            </c:extLst>
          </c:dPt>
          <c:dPt>
            <c:idx val="38"/>
            <c:invertIfNegative val="0"/>
            <c:bubble3D val="0"/>
            <c:spPr>
              <a:solidFill>
                <a:srgbClr val="00B0F0"/>
              </a:solidFill>
              <a:ln>
                <a:noFill/>
              </a:ln>
              <a:effectLst/>
            </c:spPr>
            <c:extLst>
              <c:ext xmlns:c16="http://schemas.microsoft.com/office/drawing/2014/chart" uri="{C3380CC4-5D6E-409C-BE32-E72D297353CC}">
                <c16:uniqueId val="{00000040-75D0-4D4D-984C-E503ABE873A6}"/>
              </c:ext>
            </c:extLst>
          </c:dPt>
          <c:dPt>
            <c:idx val="41"/>
            <c:invertIfNegative val="0"/>
            <c:bubble3D val="0"/>
            <c:spPr>
              <a:solidFill>
                <a:srgbClr val="FF0000"/>
              </a:solidFill>
              <a:ln>
                <a:noFill/>
              </a:ln>
              <a:effectLst/>
            </c:spPr>
            <c:extLst>
              <c:ext xmlns:c16="http://schemas.microsoft.com/office/drawing/2014/chart" uri="{C3380CC4-5D6E-409C-BE32-E72D297353CC}">
                <c16:uniqueId val="{00000020-75D0-4D4D-984C-E503ABE873A6}"/>
              </c:ext>
            </c:extLst>
          </c:dPt>
          <c:dPt>
            <c:idx val="42"/>
            <c:invertIfNegative val="0"/>
            <c:bubble3D val="0"/>
            <c:spPr>
              <a:solidFill>
                <a:srgbClr val="00B0F0"/>
              </a:solidFill>
              <a:ln>
                <a:noFill/>
              </a:ln>
              <a:effectLst/>
            </c:spPr>
            <c:extLst>
              <c:ext xmlns:c16="http://schemas.microsoft.com/office/drawing/2014/chart" uri="{C3380CC4-5D6E-409C-BE32-E72D297353CC}">
                <c16:uniqueId val="{00000041-75D0-4D4D-984C-E503ABE873A6}"/>
              </c:ext>
            </c:extLst>
          </c:dPt>
          <c:dPt>
            <c:idx val="45"/>
            <c:invertIfNegative val="0"/>
            <c:bubble3D val="0"/>
            <c:spPr>
              <a:solidFill>
                <a:srgbClr val="FF0000"/>
              </a:solidFill>
              <a:ln>
                <a:noFill/>
              </a:ln>
              <a:effectLst/>
            </c:spPr>
            <c:extLst>
              <c:ext xmlns:c16="http://schemas.microsoft.com/office/drawing/2014/chart" uri="{C3380CC4-5D6E-409C-BE32-E72D297353CC}">
                <c16:uniqueId val="{00000021-75D0-4D4D-984C-E503ABE873A6}"/>
              </c:ext>
            </c:extLst>
          </c:dPt>
          <c:dPt>
            <c:idx val="46"/>
            <c:invertIfNegative val="0"/>
            <c:bubble3D val="0"/>
            <c:spPr>
              <a:solidFill>
                <a:srgbClr val="00B0F0"/>
              </a:solidFill>
              <a:ln>
                <a:noFill/>
              </a:ln>
              <a:effectLst/>
            </c:spPr>
            <c:extLst>
              <c:ext xmlns:c16="http://schemas.microsoft.com/office/drawing/2014/chart" uri="{C3380CC4-5D6E-409C-BE32-E72D297353CC}">
                <c16:uniqueId val="{00000042-75D0-4D4D-984C-E503ABE873A6}"/>
              </c:ext>
            </c:extLst>
          </c:dPt>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CALCULATIONS!$N$55:$N$102</c:f>
              <c:numCache>
                <c:formatCode>_ * #,##0_ ;_ * \-#,##0_ ;_ * "-"??_ ;_ @_ </c:formatCode>
                <c:ptCount val="48"/>
                <c:pt idx="0">
                  <c:v>0</c:v>
                </c:pt>
                <c:pt idx="1">
                  <c:v>100</c:v>
                </c:pt>
                <c:pt idx="2">
                  <c:v>0</c:v>
                </c:pt>
                <c:pt idx="4">
                  <c:v>500</c:v>
                </c:pt>
                <c:pt idx="5">
                  <c:v>0</c:v>
                </c:pt>
                <c:pt idx="6">
                  <c:v>610</c:v>
                </c:pt>
                <c:pt idx="8">
                  <c:v>0</c:v>
                </c:pt>
                <c:pt idx="9">
                  <c:v>970</c:v>
                </c:pt>
                <c:pt idx="10">
                  <c:v>1550</c:v>
                </c:pt>
                <c:pt idx="12">
                  <c:v>5650</c:v>
                </c:pt>
                <c:pt idx="13">
                  <c:v>3800</c:v>
                </c:pt>
                <c:pt idx="14">
                  <c:v>1850</c:v>
                </c:pt>
                <c:pt idx="16">
                  <c:v>5550</c:v>
                </c:pt>
                <c:pt idx="17">
                  <c:v>2900</c:v>
                </c:pt>
                <c:pt idx="18">
                  <c:v>2650</c:v>
                </c:pt>
                <c:pt idx="20">
                  <c:v>5600</c:v>
                </c:pt>
                <c:pt idx="21">
                  <c:v>3050</c:v>
                </c:pt>
                <c:pt idx="22">
                  <c:v>2550</c:v>
                </c:pt>
                <c:pt idx="24">
                  <c:v>5650</c:v>
                </c:pt>
                <c:pt idx="25">
                  <c:v>2900</c:v>
                </c:pt>
                <c:pt idx="26">
                  <c:v>2750</c:v>
                </c:pt>
                <c:pt idx="28">
                  <c:v>5550</c:v>
                </c:pt>
                <c:pt idx="29">
                  <c:v>4100</c:v>
                </c:pt>
                <c:pt idx="30">
                  <c:v>1450</c:v>
                </c:pt>
                <c:pt idx="32">
                  <c:v>5600</c:v>
                </c:pt>
                <c:pt idx="33">
                  <c:v>3050</c:v>
                </c:pt>
                <c:pt idx="34">
                  <c:v>2550</c:v>
                </c:pt>
                <c:pt idx="36">
                  <c:v>5650</c:v>
                </c:pt>
                <c:pt idx="37">
                  <c:v>2900</c:v>
                </c:pt>
                <c:pt idx="38">
                  <c:v>2750</c:v>
                </c:pt>
                <c:pt idx="40">
                  <c:v>5550</c:v>
                </c:pt>
                <c:pt idx="41">
                  <c:v>2900</c:v>
                </c:pt>
                <c:pt idx="42">
                  <c:v>2650</c:v>
                </c:pt>
                <c:pt idx="44">
                  <c:v>5600</c:v>
                </c:pt>
                <c:pt idx="45">
                  <c:v>3350</c:v>
                </c:pt>
                <c:pt idx="46">
                  <c:v>2250</c:v>
                </c:pt>
              </c:numCache>
            </c:numRef>
          </c:val>
          <c:extLst>
            <c:ext xmlns:c16="http://schemas.microsoft.com/office/drawing/2014/chart" uri="{C3380CC4-5D6E-409C-BE32-E72D297353CC}">
              <c16:uniqueId val="{00000001-75D0-4D4D-984C-E503ABE873A6}"/>
            </c:ext>
          </c:extLst>
        </c:ser>
        <c:ser>
          <c:idx val="2"/>
          <c:order val="2"/>
          <c:spPr>
            <a:solidFill>
              <a:srgbClr val="00B050"/>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8-75D0-4D4D-984C-E503ABE873A6}"/>
              </c:ext>
            </c:extLst>
          </c:dPt>
          <c:dPt>
            <c:idx val="2"/>
            <c:invertIfNegative val="0"/>
            <c:bubble3D val="0"/>
            <c:spPr>
              <a:solidFill>
                <a:srgbClr val="0070C0"/>
              </a:solidFill>
              <a:ln>
                <a:noFill/>
              </a:ln>
              <a:effectLst/>
            </c:spPr>
            <c:extLst>
              <c:ext xmlns:c16="http://schemas.microsoft.com/office/drawing/2014/chart" uri="{C3380CC4-5D6E-409C-BE32-E72D297353CC}">
                <c16:uniqueId val="{0000000B-75D0-4D4D-984C-E503ABE873A6}"/>
              </c:ext>
            </c:extLst>
          </c:dPt>
          <c:dPt>
            <c:idx val="5"/>
            <c:invertIfNegative val="0"/>
            <c:bubble3D val="0"/>
            <c:spPr>
              <a:solidFill>
                <a:srgbClr val="FF0000"/>
              </a:solidFill>
              <a:ln>
                <a:noFill/>
              </a:ln>
              <a:effectLst/>
            </c:spPr>
            <c:extLst>
              <c:ext xmlns:c16="http://schemas.microsoft.com/office/drawing/2014/chart" uri="{C3380CC4-5D6E-409C-BE32-E72D297353CC}">
                <c16:uniqueId val="{00000022-75D0-4D4D-984C-E503ABE873A6}"/>
              </c:ext>
            </c:extLst>
          </c:dPt>
          <c:dPt>
            <c:idx val="6"/>
            <c:invertIfNegative val="0"/>
            <c:bubble3D val="0"/>
            <c:spPr>
              <a:solidFill>
                <a:srgbClr val="0070C0"/>
              </a:solidFill>
              <a:ln>
                <a:noFill/>
              </a:ln>
              <a:effectLst/>
            </c:spPr>
            <c:extLst>
              <c:ext xmlns:c16="http://schemas.microsoft.com/office/drawing/2014/chart" uri="{C3380CC4-5D6E-409C-BE32-E72D297353CC}">
                <c16:uniqueId val="{0000004D-75D0-4D4D-984C-E503ABE873A6}"/>
              </c:ext>
            </c:extLst>
          </c:dPt>
          <c:dPt>
            <c:idx val="9"/>
            <c:invertIfNegative val="0"/>
            <c:bubble3D val="0"/>
            <c:spPr>
              <a:solidFill>
                <a:srgbClr val="FF0000"/>
              </a:solidFill>
              <a:ln>
                <a:noFill/>
              </a:ln>
              <a:effectLst/>
            </c:spPr>
            <c:extLst>
              <c:ext xmlns:c16="http://schemas.microsoft.com/office/drawing/2014/chart" uri="{C3380CC4-5D6E-409C-BE32-E72D297353CC}">
                <c16:uniqueId val="{00000023-75D0-4D4D-984C-E503ABE873A6}"/>
              </c:ext>
            </c:extLst>
          </c:dPt>
          <c:dPt>
            <c:idx val="10"/>
            <c:invertIfNegative val="0"/>
            <c:bubble3D val="0"/>
            <c:spPr>
              <a:solidFill>
                <a:srgbClr val="0070C0"/>
              </a:solidFill>
              <a:ln>
                <a:noFill/>
              </a:ln>
              <a:effectLst/>
            </c:spPr>
            <c:extLst>
              <c:ext xmlns:c16="http://schemas.microsoft.com/office/drawing/2014/chart" uri="{C3380CC4-5D6E-409C-BE32-E72D297353CC}">
                <c16:uniqueId val="{0000004C-75D0-4D4D-984C-E503ABE873A6}"/>
              </c:ext>
            </c:extLst>
          </c:dPt>
          <c:dPt>
            <c:idx val="13"/>
            <c:invertIfNegative val="0"/>
            <c:bubble3D val="0"/>
            <c:spPr>
              <a:solidFill>
                <a:srgbClr val="FF0000"/>
              </a:solidFill>
              <a:ln>
                <a:noFill/>
              </a:ln>
              <a:effectLst/>
            </c:spPr>
            <c:extLst>
              <c:ext xmlns:c16="http://schemas.microsoft.com/office/drawing/2014/chart" uri="{C3380CC4-5D6E-409C-BE32-E72D297353CC}">
                <c16:uniqueId val="{00000024-75D0-4D4D-984C-E503ABE873A6}"/>
              </c:ext>
            </c:extLst>
          </c:dPt>
          <c:dPt>
            <c:idx val="14"/>
            <c:invertIfNegative val="0"/>
            <c:bubble3D val="0"/>
            <c:spPr>
              <a:solidFill>
                <a:srgbClr val="0070C0"/>
              </a:solidFill>
              <a:ln>
                <a:noFill/>
              </a:ln>
              <a:effectLst/>
            </c:spPr>
            <c:extLst>
              <c:ext xmlns:c16="http://schemas.microsoft.com/office/drawing/2014/chart" uri="{C3380CC4-5D6E-409C-BE32-E72D297353CC}">
                <c16:uniqueId val="{0000004B-75D0-4D4D-984C-E503ABE873A6}"/>
              </c:ext>
            </c:extLst>
          </c:dPt>
          <c:dPt>
            <c:idx val="17"/>
            <c:invertIfNegative val="0"/>
            <c:bubble3D val="0"/>
            <c:spPr>
              <a:solidFill>
                <a:srgbClr val="FF0000"/>
              </a:solidFill>
              <a:ln>
                <a:noFill/>
              </a:ln>
              <a:effectLst/>
            </c:spPr>
            <c:extLst>
              <c:ext xmlns:c16="http://schemas.microsoft.com/office/drawing/2014/chart" uri="{C3380CC4-5D6E-409C-BE32-E72D297353CC}">
                <c16:uniqueId val="{00000025-75D0-4D4D-984C-E503ABE873A6}"/>
              </c:ext>
            </c:extLst>
          </c:dPt>
          <c:dPt>
            <c:idx val="18"/>
            <c:invertIfNegative val="0"/>
            <c:bubble3D val="0"/>
            <c:spPr>
              <a:solidFill>
                <a:srgbClr val="0070C0"/>
              </a:solidFill>
              <a:ln>
                <a:noFill/>
              </a:ln>
              <a:effectLst/>
            </c:spPr>
            <c:extLst>
              <c:ext xmlns:c16="http://schemas.microsoft.com/office/drawing/2014/chart" uri="{C3380CC4-5D6E-409C-BE32-E72D297353CC}">
                <c16:uniqueId val="{0000004A-75D0-4D4D-984C-E503ABE873A6}"/>
              </c:ext>
            </c:extLst>
          </c:dPt>
          <c:dPt>
            <c:idx val="21"/>
            <c:invertIfNegative val="0"/>
            <c:bubble3D val="0"/>
            <c:spPr>
              <a:solidFill>
                <a:srgbClr val="FF0000"/>
              </a:solidFill>
              <a:ln>
                <a:noFill/>
              </a:ln>
              <a:effectLst/>
            </c:spPr>
            <c:extLst>
              <c:ext xmlns:c16="http://schemas.microsoft.com/office/drawing/2014/chart" uri="{C3380CC4-5D6E-409C-BE32-E72D297353CC}">
                <c16:uniqueId val="{00000026-75D0-4D4D-984C-E503ABE873A6}"/>
              </c:ext>
            </c:extLst>
          </c:dPt>
          <c:dPt>
            <c:idx val="22"/>
            <c:invertIfNegative val="0"/>
            <c:bubble3D val="0"/>
            <c:spPr>
              <a:solidFill>
                <a:srgbClr val="0070C0"/>
              </a:solidFill>
              <a:ln>
                <a:noFill/>
              </a:ln>
              <a:effectLst/>
            </c:spPr>
            <c:extLst>
              <c:ext xmlns:c16="http://schemas.microsoft.com/office/drawing/2014/chart" uri="{C3380CC4-5D6E-409C-BE32-E72D297353CC}">
                <c16:uniqueId val="{00000049-75D0-4D4D-984C-E503ABE873A6}"/>
              </c:ext>
            </c:extLst>
          </c:dPt>
          <c:dPt>
            <c:idx val="25"/>
            <c:invertIfNegative val="0"/>
            <c:bubble3D val="0"/>
            <c:spPr>
              <a:solidFill>
                <a:srgbClr val="FF0000"/>
              </a:solidFill>
              <a:ln>
                <a:noFill/>
              </a:ln>
              <a:effectLst/>
            </c:spPr>
            <c:extLst>
              <c:ext xmlns:c16="http://schemas.microsoft.com/office/drawing/2014/chart" uri="{C3380CC4-5D6E-409C-BE32-E72D297353CC}">
                <c16:uniqueId val="{00000027-75D0-4D4D-984C-E503ABE873A6}"/>
              </c:ext>
            </c:extLst>
          </c:dPt>
          <c:dPt>
            <c:idx val="26"/>
            <c:invertIfNegative val="0"/>
            <c:bubble3D val="0"/>
            <c:spPr>
              <a:solidFill>
                <a:srgbClr val="0070C0"/>
              </a:solidFill>
              <a:ln>
                <a:noFill/>
              </a:ln>
              <a:effectLst/>
            </c:spPr>
            <c:extLst>
              <c:ext xmlns:c16="http://schemas.microsoft.com/office/drawing/2014/chart" uri="{C3380CC4-5D6E-409C-BE32-E72D297353CC}">
                <c16:uniqueId val="{00000048-75D0-4D4D-984C-E503ABE873A6}"/>
              </c:ext>
            </c:extLst>
          </c:dPt>
          <c:dPt>
            <c:idx val="29"/>
            <c:invertIfNegative val="0"/>
            <c:bubble3D val="0"/>
            <c:spPr>
              <a:solidFill>
                <a:srgbClr val="FF0000"/>
              </a:solidFill>
              <a:ln>
                <a:noFill/>
              </a:ln>
              <a:effectLst/>
            </c:spPr>
            <c:extLst>
              <c:ext xmlns:c16="http://schemas.microsoft.com/office/drawing/2014/chart" uri="{C3380CC4-5D6E-409C-BE32-E72D297353CC}">
                <c16:uniqueId val="{00000028-75D0-4D4D-984C-E503ABE873A6}"/>
              </c:ext>
            </c:extLst>
          </c:dPt>
          <c:dPt>
            <c:idx val="30"/>
            <c:invertIfNegative val="0"/>
            <c:bubble3D val="0"/>
            <c:spPr>
              <a:solidFill>
                <a:srgbClr val="0070C0"/>
              </a:solidFill>
              <a:ln>
                <a:noFill/>
              </a:ln>
              <a:effectLst/>
            </c:spPr>
            <c:extLst>
              <c:ext xmlns:c16="http://schemas.microsoft.com/office/drawing/2014/chart" uri="{C3380CC4-5D6E-409C-BE32-E72D297353CC}">
                <c16:uniqueId val="{00000047-75D0-4D4D-984C-E503ABE873A6}"/>
              </c:ext>
            </c:extLst>
          </c:dPt>
          <c:dPt>
            <c:idx val="33"/>
            <c:invertIfNegative val="0"/>
            <c:bubble3D val="0"/>
            <c:spPr>
              <a:solidFill>
                <a:srgbClr val="FF0000"/>
              </a:solidFill>
              <a:ln>
                <a:noFill/>
              </a:ln>
              <a:effectLst/>
            </c:spPr>
            <c:extLst>
              <c:ext xmlns:c16="http://schemas.microsoft.com/office/drawing/2014/chart" uri="{C3380CC4-5D6E-409C-BE32-E72D297353CC}">
                <c16:uniqueId val="{00000029-75D0-4D4D-984C-E503ABE873A6}"/>
              </c:ext>
            </c:extLst>
          </c:dPt>
          <c:dPt>
            <c:idx val="34"/>
            <c:invertIfNegative val="0"/>
            <c:bubble3D val="0"/>
            <c:spPr>
              <a:solidFill>
                <a:srgbClr val="0070C0"/>
              </a:solidFill>
              <a:ln>
                <a:noFill/>
              </a:ln>
              <a:effectLst/>
            </c:spPr>
            <c:extLst>
              <c:ext xmlns:c16="http://schemas.microsoft.com/office/drawing/2014/chart" uri="{C3380CC4-5D6E-409C-BE32-E72D297353CC}">
                <c16:uniqueId val="{00000046-75D0-4D4D-984C-E503ABE873A6}"/>
              </c:ext>
            </c:extLst>
          </c:dPt>
          <c:dPt>
            <c:idx val="37"/>
            <c:invertIfNegative val="0"/>
            <c:bubble3D val="0"/>
            <c:spPr>
              <a:solidFill>
                <a:srgbClr val="FF0000"/>
              </a:solidFill>
              <a:ln>
                <a:noFill/>
              </a:ln>
              <a:effectLst/>
            </c:spPr>
            <c:extLst>
              <c:ext xmlns:c16="http://schemas.microsoft.com/office/drawing/2014/chart" uri="{C3380CC4-5D6E-409C-BE32-E72D297353CC}">
                <c16:uniqueId val="{0000002A-75D0-4D4D-984C-E503ABE873A6}"/>
              </c:ext>
            </c:extLst>
          </c:dPt>
          <c:dPt>
            <c:idx val="38"/>
            <c:invertIfNegative val="0"/>
            <c:bubble3D val="0"/>
            <c:spPr>
              <a:solidFill>
                <a:srgbClr val="0070C0"/>
              </a:solidFill>
              <a:ln>
                <a:noFill/>
              </a:ln>
              <a:effectLst/>
            </c:spPr>
            <c:extLst>
              <c:ext xmlns:c16="http://schemas.microsoft.com/office/drawing/2014/chart" uri="{C3380CC4-5D6E-409C-BE32-E72D297353CC}">
                <c16:uniqueId val="{00000045-75D0-4D4D-984C-E503ABE873A6}"/>
              </c:ext>
            </c:extLst>
          </c:dPt>
          <c:dPt>
            <c:idx val="41"/>
            <c:invertIfNegative val="0"/>
            <c:bubble3D val="0"/>
            <c:spPr>
              <a:solidFill>
                <a:srgbClr val="FF0000"/>
              </a:solidFill>
              <a:ln>
                <a:noFill/>
              </a:ln>
              <a:effectLst/>
            </c:spPr>
            <c:extLst>
              <c:ext xmlns:c16="http://schemas.microsoft.com/office/drawing/2014/chart" uri="{C3380CC4-5D6E-409C-BE32-E72D297353CC}">
                <c16:uniqueId val="{0000002B-75D0-4D4D-984C-E503ABE873A6}"/>
              </c:ext>
            </c:extLst>
          </c:dPt>
          <c:dPt>
            <c:idx val="42"/>
            <c:invertIfNegative val="0"/>
            <c:bubble3D val="0"/>
            <c:spPr>
              <a:solidFill>
                <a:srgbClr val="0070C0"/>
              </a:solidFill>
              <a:ln>
                <a:noFill/>
              </a:ln>
              <a:effectLst/>
            </c:spPr>
            <c:extLst>
              <c:ext xmlns:c16="http://schemas.microsoft.com/office/drawing/2014/chart" uri="{C3380CC4-5D6E-409C-BE32-E72D297353CC}">
                <c16:uniqueId val="{00000044-75D0-4D4D-984C-E503ABE873A6}"/>
              </c:ext>
            </c:extLst>
          </c:dPt>
          <c:dPt>
            <c:idx val="45"/>
            <c:invertIfNegative val="0"/>
            <c:bubble3D val="0"/>
            <c:spPr>
              <a:solidFill>
                <a:srgbClr val="FF0000"/>
              </a:solidFill>
              <a:ln>
                <a:noFill/>
              </a:ln>
              <a:effectLst/>
            </c:spPr>
            <c:extLst>
              <c:ext xmlns:c16="http://schemas.microsoft.com/office/drawing/2014/chart" uri="{C3380CC4-5D6E-409C-BE32-E72D297353CC}">
                <c16:uniqueId val="{0000002C-75D0-4D4D-984C-E503ABE873A6}"/>
              </c:ext>
            </c:extLst>
          </c:dPt>
          <c:dPt>
            <c:idx val="46"/>
            <c:invertIfNegative val="0"/>
            <c:bubble3D val="0"/>
            <c:spPr>
              <a:solidFill>
                <a:srgbClr val="0070C0"/>
              </a:solidFill>
              <a:ln>
                <a:noFill/>
              </a:ln>
              <a:effectLst/>
            </c:spPr>
            <c:extLst>
              <c:ext xmlns:c16="http://schemas.microsoft.com/office/drawing/2014/chart" uri="{C3380CC4-5D6E-409C-BE32-E72D297353CC}">
                <c16:uniqueId val="{00000043-75D0-4D4D-984C-E503ABE873A6}"/>
              </c:ext>
            </c:extLst>
          </c:dPt>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CALCULATIONS!$O$55:$O$102</c:f>
              <c:numCache>
                <c:formatCode>_ * #,##0_ ;_ * \-#,##0_ ;_ * "-"??_ ;_ @_ </c:formatCode>
                <c:ptCount val="48"/>
                <c:pt idx="0">
                  <c:v>200</c:v>
                </c:pt>
                <c:pt idx="1">
                  <c:v>0</c:v>
                </c:pt>
                <c:pt idx="2">
                  <c:v>300</c:v>
                </c:pt>
                <c:pt idx="4">
                  <c:v>0</c:v>
                </c:pt>
                <c:pt idx="5">
                  <c:v>110</c:v>
                </c:pt>
                <c:pt idx="6">
                  <c:v>0</c:v>
                </c:pt>
                <c:pt idx="8">
                  <c:v>100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02-75D0-4D4D-984C-E503ABE873A6}"/>
            </c:ext>
          </c:extLst>
        </c:ser>
        <c:ser>
          <c:idx val="3"/>
          <c:order val="3"/>
          <c:spPr>
            <a:solidFill>
              <a:schemeClr val="bg1">
                <a:lumMod val="65000"/>
              </a:schemeClr>
            </a:solidFill>
            <a:ln>
              <a:noFill/>
            </a:ln>
            <a:effectLst/>
          </c:spPr>
          <c:invertIfNegative val="0"/>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CALCULATIONS!$P$55:$P$102</c:f>
              <c:numCache>
                <c:formatCode>_ * #,##0_ ;_ * \-#,##0_ ;_ * "-"??_ ;_ @_ </c:formatCode>
                <c:ptCount val="48"/>
                <c:pt idx="0">
                  <c:v>4650</c:v>
                </c:pt>
                <c:pt idx="1">
                  <c:v>2800</c:v>
                </c:pt>
                <c:pt idx="2">
                  <c:v>1750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03-75D0-4D4D-984C-E503ABE873A6}"/>
            </c:ext>
          </c:extLst>
        </c:ser>
        <c:ser>
          <c:idx val="4"/>
          <c:order val="4"/>
          <c:spPr>
            <a:solidFill>
              <a:schemeClr val="bg1">
                <a:lumMod val="85000"/>
              </a:schemeClr>
            </a:solidFill>
            <a:ln>
              <a:noFill/>
            </a:ln>
            <a:effectLst/>
          </c:spPr>
          <c:invertIfNegative val="0"/>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CALCULATIONS!$Q$55:$Q$102</c:f>
              <c:numCache>
                <c:formatCode>_ * #,##0_ ;_ * \-#,##0_ ;_ * "-"??_ ;_ @_ </c:formatCode>
                <c:ptCount val="48"/>
                <c:pt idx="0">
                  <c:v>0</c:v>
                </c:pt>
                <c:pt idx="1">
                  <c:v>100</c:v>
                </c:pt>
                <c:pt idx="2">
                  <c:v>0</c:v>
                </c:pt>
                <c:pt idx="4">
                  <c:v>0</c:v>
                </c:pt>
                <c:pt idx="5">
                  <c:v>100</c:v>
                </c:pt>
                <c:pt idx="6">
                  <c:v>0</c:v>
                </c:pt>
                <c:pt idx="8">
                  <c:v>0</c:v>
                </c:pt>
                <c:pt idx="9">
                  <c:v>100</c:v>
                </c:pt>
                <c:pt idx="10">
                  <c:v>0</c:v>
                </c:pt>
                <c:pt idx="12">
                  <c:v>0</c:v>
                </c:pt>
                <c:pt idx="13">
                  <c:v>100</c:v>
                </c:pt>
                <c:pt idx="14">
                  <c:v>0</c:v>
                </c:pt>
                <c:pt idx="16">
                  <c:v>0</c:v>
                </c:pt>
                <c:pt idx="17">
                  <c:v>100</c:v>
                </c:pt>
                <c:pt idx="18">
                  <c:v>0</c:v>
                </c:pt>
                <c:pt idx="20">
                  <c:v>0</c:v>
                </c:pt>
                <c:pt idx="21">
                  <c:v>100</c:v>
                </c:pt>
                <c:pt idx="22">
                  <c:v>0</c:v>
                </c:pt>
                <c:pt idx="24">
                  <c:v>0</c:v>
                </c:pt>
                <c:pt idx="25">
                  <c:v>100</c:v>
                </c:pt>
                <c:pt idx="26">
                  <c:v>0</c:v>
                </c:pt>
                <c:pt idx="28">
                  <c:v>0</c:v>
                </c:pt>
                <c:pt idx="29">
                  <c:v>100</c:v>
                </c:pt>
                <c:pt idx="30">
                  <c:v>0</c:v>
                </c:pt>
                <c:pt idx="32">
                  <c:v>0</c:v>
                </c:pt>
                <c:pt idx="33">
                  <c:v>100</c:v>
                </c:pt>
                <c:pt idx="34">
                  <c:v>0</c:v>
                </c:pt>
                <c:pt idx="36">
                  <c:v>0</c:v>
                </c:pt>
                <c:pt idx="37">
                  <c:v>100</c:v>
                </c:pt>
                <c:pt idx="38">
                  <c:v>0</c:v>
                </c:pt>
                <c:pt idx="40">
                  <c:v>0</c:v>
                </c:pt>
                <c:pt idx="41">
                  <c:v>100</c:v>
                </c:pt>
                <c:pt idx="42">
                  <c:v>0</c:v>
                </c:pt>
                <c:pt idx="44">
                  <c:v>0</c:v>
                </c:pt>
                <c:pt idx="45">
                  <c:v>100</c:v>
                </c:pt>
                <c:pt idx="46">
                  <c:v>0</c:v>
                </c:pt>
              </c:numCache>
            </c:numRef>
          </c:val>
          <c:extLst>
            <c:ext xmlns:c16="http://schemas.microsoft.com/office/drawing/2014/chart" uri="{C3380CC4-5D6E-409C-BE32-E72D297353CC}">
              <c16:uniqueId val="{00000004-75D0-4D4D-984C-E503ABE873A6}"/>
            </c:ext>
          </c:extLst>
        </c:ser>
        <c:ser>
          <c:idx val="5"/>
          <c:order val="5"/>
          <c:spPr>
            <a:solidFill>
              <a:schemeClr val="bg1">
                <a:lumMod val="65000"/>
              </a:schemeClr>
            </a:solidFill>
            <a:ln>
              <a:noFill/>
            </a:ln>
            <a:effectLst/>
          </c:spPr>
          <c:invertIfNegative val="0"/>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CALCULATIONS!$R$55:$R$102</c:f>
              <c:numCache>
                <c:formatCode>_ * #,##0_ ;_ * \-#,##0_ ;_ * "-"??_ ;_ @_ </c:formatCode>
                <c:ptCount val="48"/>
                <c:pt idx="0">
                  <c:v>200</c:v>
                </c:pt>
                <c:pt idx="1">
                  <c:v>0</c:v>
                </c:pt>
                <c:pt idx="2">
                  <c:v>300</c:v>
                </c:pt>
                <c:pt idx="4">
                  <c:v>201</c:v>
                </c:pt>
                <c:pt idx="5">
                  <c:v>0</c:v>
                </c:pt>
                <c:pt idx="6">
                  <c:v>301</c:v>
                </c:pt>
                <c:pt idx="8">
                  <c:v>202</c:v>
                </c:pt>
                <c:pt idx="9">
                  <c:v>0</c:v>
                </c:pt>
                <c:pt idx="10">
                  <c:v>302</c:v>
                </c:pt>
                <c:pt idx="12">
                  <c:v>203</c:v>
                </c:pt>
                <c:pt idx="13">
                  <c:v>0</c:v>
                </c:pt>
                <c:pt idx="14">
                  <c:v>303</c:v>
                </c:pt>
                <c:pt idx="16">
                  <c:v>204</c:v>
                </c:pt>
                <c:pt idx="17">
                  <c:v>0</c:v>
                </c:pt>
                <c:pt idx="18">
                  <c:v>304</c:v>
                </c:pt>
                <c:pt idx="20">
                  <c:v>205</c:v>
                </c:pt>
                <c:pt idx="21">
                  <c:v>0</c:v>
                </c:pt>
                <c:pt idx="22">
                  <c:v>305</c:v>
                </c:pt>
                <c:pt idx="24">
                  <c:v>206</c:v>
                </c:pt>
                <c:pt idx="25">
                  <c:v>0</c:v>
                </c:pt>
                <c:pt idx="26">
                  <c:v>306</c:v>
                </c:pt>
                <c:pt idx="28">
                  <c:v>207</c:v>
                </c:pt>
                <c:pt idx="29">
                  <c:v>0</c:v>
                </c:pt>
                <c:pt idx="30">
                  <c:v>307</c:v>
                </c:pt>
                <c:pt idx="32">
                  <c:v>208</c:v>
                </c:pt>
                <c:pt idx="33">
                  <c:v>0</c:v>
                </c:pt>
                <c:pt idx="34">
                  <c:v>308</c:v>
                </c:pt>
                <c:pt idx="36">
                  <c:v>209</c:v>
                </c:pt>
                <c:pt idx="37">
                  <c:v>0</c:v>
                </c:pt>
                <c:pt idx="38">
                  <c:v>309</c:v>
                </c:pt>
                <c:pt idx="40">
                  <c:v>210</c:v>
                </c:pt>
                <c:pt idx="41">
                  <c:v>0</c:v>
                </c:pt>
                <c:pt idx="42">
                  <c:v>310</c:v>
                </c:pt>
                <c:pt idx="44">
                  <c:v>211</c:v>
                </c:pt>
                <c:pt idx="45">
                  <c:v>0</c:v>
                </c:pt>
                <c:pt idx="46">
                  <c:v>311</c:v>
                </c:pt>
              </c:numCache>
            </c:numRef>
          </c:val>
          <c:extLst>
            <c:ext xmlns:c16="http://schemas.microsoft.com/office/drawing/2014/chart" uri="{C3380CC4-5D6E-409C-BE32-E72D297353CC}">
              <c16:uniqueId val="{00000005-75D0-4D4D-984C-E503ABE873A6}"/>
            </c:ext>
          </c:extLst>
        </c:ser>
        <c:dLbls>
          <c:showLegendKey val="0"/>
          <c:showVal val="0"/>
          <c:showCatName val="0"/>
          <c:showSerName val="0"/>
          <c:showPercent val="0"/>
          <c:showBubbleSize val="0"/>
        </c:dLbls>
        <c:gapWidth val="15"/>
        <c:overlap val="100"/>
        <c:axId val="1733939039"/>
        <c:axId val="1733950559"/>
      </c:barChart>
      <c:catAx>
        <c:axId val="1733939039"/>
        <c:scaling>
          <c:orientation val="minMax"/>
        </c:scaling>
        <c:delete val="0"/>
        <c:axPos val="b"/>
        <c:numFmt formatCode="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950559"/>
        <c:crosses val="autoZero"/>
        <c:auto val="0"/>
        <c:lblAlgn val="ctr"/>
        <c:lblOffset val="100"/>
        <c:noMultiLvlLbl val="0"/>
      </c:catAx>
      <c:valAx>
        <c:axId val="1733950559"/>
        <c:scaling>
          <c:orientation val="minMax"/>
        </c:scaling>
        <c:delete val="0"/>
        <c:axPos val="l"/>
        <c:majorGridlines>
          <c:spPr>
            <a:ln w="9525" cap="flat" cmpd="sng" algn="ctr">
              <a:no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93903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dLbls>
          <c:showLegendKey val="0"/>
          <c:showVal val="0"/>
          <c:showCatName val="0"/>
          <c:showSerName val="0"/>
          <c:showPercent val="0"/>
          <c:showBubbleSize val="0"/>
        </c:dLbls>
        <c:gapWidth val="0"/>
        <c:axId val="1723998399"/>
        <c:axId val="1724014239"/>
      </c:barChart>
      <c:catAx>
        <c:axId val="1723998399"/>
        <c:scaling>
          <c:orientation val="minMax"/>
        </c:scaling>
        <c:delete val="1"/>
        <c:axPos val="l"/>
        <c:numFmt formatCode="General" sourceLinked="1"/>
        <c:majorTickMark val="none"/>
        <c:minorTickMark val="none"/>
        <c:tickLblPos val="nextTo"/>
        <c:crossAx val="1724014239"/>
        <c:crosses val="autoZero"/>
        <c:auto val="1"/>
        <c:lblAlgn val="ctr"/>
        <c:lblOffset val="100"/>
        <c:noMultiLvlLbl val="0"/>
      </c:catAx>
      <c:valAx>
        <c:axId val="1724014239"/>
        <c:scaling>
          <c:orientation val="minMax"/>
          <c:max val="1"/>
        </c:scaling>
        <c:delete val="1"/>
        <c:axPos val="b"/>
        <c:majorGridlines>
          <c:spPr>
            <a:ln w="9525" cap="flat" cmpd="sng" algn="ctr">
              <a:noFill/>
              <a:round/>
            </a:ln>
            <a:effectLst/>
          </c:spPr>
        </c:majorGridlines>
        <c:numFmt formatCode="0%" sourceLinked="1"/>
        <c:majorTickMark val="none"/>
        <c:minorTickMark val="none"/>
        <c:tickLblPos val="nextTo"/>
        <c:crossAx val="172399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E$49" lockText="1" noThreeD="1"/>
</file>

<file path=xl/ctrlProps/ctrlProp2.xml><?xml version="1.0" encoding="utf-8"?>
<formControlPr xmlns="http://schemas.microsoft.com/office/spreadsheetml/2009/9/main" objectType="CheckBox" fmlaLink="$E$50" lockText="1" noThreeD="1"/>
</file>

<file path=xl/ctrlProps/ctrlProp3.xml><?xml version="1.0" encoding="utf-8"?>
<formControlPr xmlns="http://schemas.microsoft.com/office/spreadsheetml/2009/9/main" objectType="CheckBox" checked="Checked" fmlaLink="$E$51" lockText="1" noThreeD="1"/>
</file>

<file path=xl/ctrlProps/ctrlProp4.xml><?xml version="1.0" encoding="utf-8"?>
<formControlPr xmlns="http://schemas.microsoft.com/office/spreadsheetml/2009/9/main" objectType="CheckBox" fmlaLink="$E$52" lockText="1" noThreeD="1"/>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19050</xdr:colOff>
      <xdr:row>4</xdr:row>
      <xdr:rowOff>114299</xdr:rowOff>
    </xdr:from>
    <xdr:to>
      <xdr:col>3</xdr:col>
      <xdr:colOff>400050</xdr:colOff>
      <xdr:row>9</xdr:row>
      <xdr:rowOff>9524</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1019175" y="876299"/>
          <a:ext cx="1476375" cy="847725"/>
        </a:xfrm>
        <a:prstGeom prst="roundRect">
          <a:avLst>
            <a:gd name="adj" fmla="val 8802"/>
          </a:avLst>
        </a:prstGeom>
        <a:solidFill>
          <a:schemeClr val="bg1"/>
        </a:solidFill>
        <a:ln w="6350">
          <a:solidFill>
            <a:schemeClr val="bg1">
              <a:lumMod val="7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absolute">
    <xdr:from>
      <xdr:col>2</xdr:col>
      <xdr:colOff>38099</xdr:colOff>
      <xdr:row>4</xdr:row>
      <xdr:rowOff>180975</xdr:rowOff>
    </xdr:from>
    <xdr:to>
      <xdr:col>3</xdr:col>
      <xdr:colOff>419099</xdr:colOff>
      <xdr:row>8</xdr:row>
      <xdr:rowOff>142875</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038224" y="942975"/>
          <a:ext cx="147637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t> Date Of </a:t>
          </a:r>
          <a:r>
            <a:rPr lang="en-IN" sz="1200" b="1"/>
            <a:t>Today</a:t>
          </a:r>
        </a:p>
      </xdr:txBody>
    </xdr:sp>
    <xdr:clientData/>
  </xdr:twoCellAnchor>
  <xdr:twoCellAnchor>
    <xdr:from>
      <xdr:col>2</xdr:col>
      <xdr:colOff>85725</xdr:colOff>
      <xdr:row>6</xdr:row>
      <xdr:rowOff>123824</xdr:rowOff>
    </xdr:from>
    <xdr:to>
      <xdr:col>3</xdr:col>
      <xdr:colOff>104776</xdr:colOff>
      <xdr:row>8</xdr:row>
      <xdr:rowOff>38099</xdr:rowOff>
    </xdr:to>
    <xdr:sp macro="" textlink="CALCULATIONS!E8">
      <xdr:nvSpPr>
        <xdr:cNvPr id="4" name="TextBox 3">
          <a:extLst>
            <a:ext uri="{FF2B5EF4-FFF2-40B4-BE49-F238E27FC236}">
              <a16:creationId xmlns:a16="http://schemas.microsoft.com/office/drawing/2014/main" id="{00000000-0008-0000-0200-000004000000}"/>
            </a:ext>
          </a:extLst>
        </xdr:cNvPr>
        <xdr:cNvSpPr txBox="1"/>
      </xdr:nvSpPr>
      <xdr:spPr>
        <a:xfrm>
          <a:off x="1085850" y="1266824"/>
          <a:ext cx="111442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AE0293-B165-43FF-A96B-A0C5CECC0109}" type="TxLink">
            <a:rPr lang="en-US" sz="1200" b="1" i="0" u="none" strike="noStrike">
              <a:solidFill>
                <a:srgbClr val="000000"/>
              </a:solidFill>
              <a:latin typeface="Calibri"/>
              <a:ea typeface="Calibri"/>
              <a:cs typeface="Calibri"/>
            </a:rPr>
            <a:pPr/>
            <a:t>15-Mar-22</a:t>
          </a:fld>
          <a:endParaRPr lang="en-IN" sz="1200" b="1"/>
        </a:p>
      </xdr:txBody>
    </xdr:sp>
    <xdr:clientData/>
  </xdr:twoCellAnchor>
  <xdr:twoCellAnchor>
    <xdr:from>
      <xdr:col>3</xdr:col>
      <xdr:colOff>685799</xdr:colOff>
      <xdr:row>4</xdr:row>
      <xdr:rowOff>104775</xdr:rowOff>
    </xdr:from>
    <xdr:to>
      <xdr:col>5</xdr:col>
      <xdr:colOff>447674</xdr:colOff>
      <xdr:row>9</xdr:row>
      <xdr:rowOff>1875</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2781299" y="866775"/>
          <a:ext cx="2009775" cy="849600"/>
        </a:xfrm>
        <a:prstGeom prst="roundRect">
          <a:avLst>
            <a:gd name="adj" fmla="val 8802"/>
          </a:avLst>
        </a:prstGeom>
        <a:solidFill>
          <a:schemeClr val="bg1"/>
        </a:solidFill>
        <a:ln w="6350">
          <a:solidFill>
            <a:schemeClr val="bg1">
              <a:lumMod val="7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742950</xdr:colOff>
      <xdr:row>5</xdr:row>
      <xdr:rowOff>0</xdr:rowOff>
    </xdr:from>
    <xdr:to>
      <xdr:col>5</xdr:col>
      <xdr:colOff>476251</xdr:colOff>
      <xdr:row>7</xdr:row>
      <xdr:rowOff>47625</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2838450" y="952500"/>
          <a:ext cx="1981201"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Date</a:t>
          </a:r>
          <a:r>
            <a:rPr lang="en-IN" sz="1200" b="1" baseline="0"/>
            <a:t> Of Last Record</a:t>
          </a:r>
          <a:endParaRPr lang="en-IN" sz="1200" b="1"/>
        </a:p>
      </xdr:txBody>
    </xdr:sp>
    <xdr:clientData/>
  </xdr:twoCellAnchor>
  <xdr:twoCellAnchor>
    <xdr:from>
      <xdr:col>3</xdr:col>
      <xdr:colOff>809625</xdr:colOff>
      <xdr:row>6</xdr:row>
      <xdr:rowOff>123826</xdr:rowOff>
    </xdr:from>
    <xdr:to>
      <xdr:col>4</xdr:col>
      <xdr:colOff>666750</xdr:colOff>
      <xdr:row>8</xdr:row>
      <xdr:rowOff>85726</xdr:rowOff>
    </xdr:to>
    <xdr:sp macro="" textlink="CALCULATIONS!E9">
      <xdr:nvSpPr>
        <xdr:cNvPr id="7" name="TextBox 6">
          <a:extLst>
            <a:ext uri="{FF2B5EF4-FFF2-40B4-BE49-F238E27FC236}">
              <a16:creationId xmlns:a16="http://schemas.microsoft.com/office/drawing/2014/main" id="{00000000-0008-0000-0200-000007000000}"/>
            </a:ext>
          </a:extLst>
        </xdr:cNvPr>
        <xdr:cNvSpPr txBox="1"/>
      </xdr:nvSpPr>
      <xdr:spPr>
        <a:xfrm>
          <a:off x="2905125" y="1266826"/>
          <a:ext cx="9620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1CCE95-2548-46B9-A30F-5661D59EB4A4}" type="TxLink">
            <a:rPr lang="en-US" sz="1200" b="1" i="0" u="none" strike="noStrike">
              <a:solidFill>
                <a:srgbClr val="000000"/>
              </a:solidFill>
              <a:latin typeface="Calibri"/>
              <a:ea typeface="Calibri"/>
              <a:cs typeface="Calibri"/>
            </a:rPr>
            <a:pPr/>
            <a:t>15-Mar-22</a:t>
          </a:fld>
          <a:endParaRPr lang="en-IN" sz="1200" b="1"/>
        </a:p>
      </xdr:txBody>
    </xdr:sp>
    <xdr:clientData/>
  </xdr:twoCellAnchor>
  <xdr:twoCellAnchor>
    <xdr:from>
      <xdr:col>4</xdr:col>
      <xdr:colOff>609600</xdr:colOff>
      <xdr:row>6</xdr:row>
      <xdr:rowOff>123825</xdr:rowOff>
    </xdr:from>
    <xdr:to>
      <xdr:col>5</xdr:col>
      <xdr:colOff>438150</xdr:colOff>
      <xdr:row>8</xdr:row>
      <xdr:rowOff>85724</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3810000" y="1266825"/>
          <a:ext cx="97155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(14days ago)</a:t>
          </a:r>
        </a:p>
      </xdr:txBody>
    </xdr:sp>
    <xdr:clientData/>
  </xdr:twoCellAnchor>
  <xdr:twoCellAnchor>
    <xdr:from>
      <xdr:col>5</xdr:col>
      <xdr:colOff>1076325</xdr:colOff>
      <xdr:row>4</xdr:row>
      <xdr:rowOff>95250</xdr:rowOff>
    </xdr:from>
    <xdr:to>
      <xdr:col>6</xdr:col>
      <xdr:colOff>1678875</xdr:colOff>
      <xdr:row>8</xdr:row>
      <xdr:rowOff>182850</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5419725" y="857250"/>
          <a:ext cx="1688400" cy="849600"/>
        </a:xfrm>
        <a:prstGeom prst="roundRect">
          <a:avLst>
            <a:gd name="adj" fmla="val 8802"/>
          </a:avLst>
        </a:prstGeom>
        <a:noFill/>
        <a:ln w="6350">
          <a:no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5</xdr:col>
      <xdr:colOff>647700</xdr:colOff>
      <xdr:row>4</xdr:row>
      <xdr:rowOff>104775</xdr:rowOff>
    </xdr:from>
    <xdr:to>
      <xdr:col>6</xdr:col>
      <xdr:colOff>1304925</xdr:colOff>
      <xdr:row>9</xdr:row>
      <xdr:rowOff>1875</xdr:rowOff>
    </xdr:to>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4991100" y="866775"/>
          <a:ext cx="1743075" cy="849600"/>
        </a:xfrm>
        <a:prstGeom prst="roundRect">
          <a:avLst>
            <a:gd name="adj" fmla="val 8802"/>
          </a:avLst>
        </a:prstGeom>
        <a:solidFill>
          <a:schemeClr val="bg1"/>
        </a:solidFill>
        <a:ln w="6350">
          <a:solidFill>
            <a:schemeClr val="bg1">
              <a:lumMod val="7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5</xdr:col>
      <xdr:colOff>638175</xdr:colOff>
      <xdr:row>4</xdr:row>
      <xdr:rowOff>180975</xdr:rowOff>
    </xdr:from>
    <xdr:to>
      <xdr:col>6</xdr:col>
      <xdr:colOff>1390650</xdr:colOff>
      <xdr:row>7</xdr:row>
      <xdr:rowOff>38100</xdr:rowOff>
    </xdr:to>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4981575" y="942975"/>
          <a:ext cx="18383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No Of Tracked Records</a:t>
          </a:r>
        </a:p>
      </xdr:txBody>
    </xdr:sp>
    <xdr:clientData/>
  </xdr:twoCellAnchor>
  <xdr:twoCellAnchor>
    <xdr:from>
      <xdr:col>5</xdr:col>
      <xdr:colOff>885826</xdr:colOff>
      <xdr:row>6</xdr:row>
      <xdr:rowOff>133350</xdr:rowOff>
    </xdr:from>
    <xdr:to>
      <xdr:col>6</xdr:col>
      <xdr:colOff>466726</xdr:colOff>
      <xdr:row>8</xdr:row>
      <xdr:rowOff>66675</xdr:rowOff>
    </xdr:to>
    <xdr:sp macro="" textlink="CALCULATIONS!E11">
      <xdr:nvSpPr>
        <xdr:cNvPr id="22" name="TextBox 21">
          <a:extLst>
            <a:ext uri="{FF2B5EF4-FFF2-40B4-BE49-F238E27FC236}">
              <a16:creationId xmlns:a16="http://schemas.microsoft.com/office/drawing/2014/main" id="{00000000-0008-0000-0200-000016000000}"/>
            </a:ext>
          </a:extLst>
        </xdr:cNvPr>
        <xdr:cNvSpPr txBox="1"/>
      </xdr:nvSpPr>
      <xdr:spPr>
        <a:xfrm>
          <a:off x="5229226" y="1276350"/>
          <a:ext cx="6667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B3A370-3C07-4C31-A5DA-6B30381A46AC}" type="TxLink">
            <a:rPr lang="en-US" sz="1200" b="1" i="0" u="none" strike="noStrike">
              <a:solidFill>
                <a:srgbClr val="000000"/>
              </a:solidFill>
              <a:latin typeface="Calibri"/>
              <a:ea typeface="Calibri"/>
              <a:cs typeface="Calibri"/>
            </a:rPr>
            <a:pPr/>
            <a:t>58</a:t>
          </a:fld>
          <a:endParaRPr lang="en-IN" sz="1200" b="1"/>
        </a:p>
      </xdr:txBody>
    </xdr:sp>
    <xdr:clientData/>
  </xdr:twoCellAnchor>
  <xdr:oneCellAnchor>
    <xdr:from>
      <xdr:col>6</xdr:col>
      <xdr:colOff>19049</xdr:colOff>
      <xdr:row>6</xdr:row>
      <xdr:rowOff>133350</xdr:rowOff>
    </xdr:from>
    <xdr:ext cx="1162051" cy="400049"/>
    <xdr:sp macro="" textlink="CALCULATIONS!E12">
      <xdr:nvSpPr>
        <xdr:cNvPr id="23" name="TextBox 22">
          <a:extLst>
            <a:ext uri="{FF2B5EF4-FFF2-40B4-BE49-F238E27FC236}">
              <a16:creationId xmlns:a16="http://schemas.microsoft.com/office/drawing/2014/main" id="{00000000-0008-0000-0200-000017000000}"/>
            </a:ext>
          </a:extLst>
        </xdr:cNvPr>
        <xdr:cNvSpPr txBox="1"/>
      </xdr:nvSpPr>
      <xdr:spPr>
        <a:xfrm>
          <a:off x="5448299" y="1276350"/>
          <a:ext cx="116205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A801AB94-03C0-4DB2-AF00-7932129E9737}" type="TxLink">
            <a:rPr lang="en-US" sz="1100" b="0" i="0" u="none" strike="noStrike">
              <a:solidFill>
                <a:srgbClr val="000000"/>
              </a:solidFill>
              <a:latin typeface="Calibri"/>
              <a:ea typeface="Calibri"/>
              <a:cs typeface="Calibri"/>
            </a:rPr>
            <a:pPr algn="r"/>
            <a:t>(56this year)</a:t>
          </a:fld>
          <a:endParaRPr lang="en-IN" sz="1100" b="0"/>
        </a:p>
      </xdr:txBody>
    </xdr:sp>
    <xdr:clientData/>
  </xdr:oneCellAnchor>
  <xdr:twoCellAnchor>
    <xdr:from>
      <xdr:col>6</xdr:col>
      <xdr:colOff>1666875</xdr:colOff>
      <xdr:row>5</xdr:row>
      <xdr:rowOff>1</xdr:rowOff>
    </xdr:from>
    <xdr:to>
      <xdr:col>7</xdr:col>
      <xdr:colOff>609600</xdr:colOff>
      <xdr:row>7</xdr:row>
      <xdr:rowOff>76201</xdr:rowOff>
    </xdr:to>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7096125" y="952501"/>
          <a:ext cx="19716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xdr:from>
      <xdr:col>6</xdr:col>
      <xdr:colOff>1790701</xdr:colOff>
      <xdr:row>6</xdr:row>
      <xdr:rowOff>123826</xdr:rowOff>
    </xdr:from>
    <xdr:to>
      <xdr:col>6</xdr:col>
      <xdr:colOff>2609850</xdr:colOff>
      <xdr:row>8</xdr:row>
      <xdr:rowOff>47626</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7219951" y="1266826"/>
          <a:ext cx="8191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24,280 </a:t>
          </a:r>
        </a:p>
      </xdr:txBody>
    </xdr:sp>
    <xdr:clientData/>
  </xdr:twoCellAnchor>
  <xdr:twoCellAnchor>
    <xdr:from>
      <xdr:col>6</xdr:col>
      <xdr:colOff>1534754</xdr:colOff>
      <xdr:row>4</xdr:row>
      <xdr:rowOff>92179</xdr:rowOff>
    </xdr:from>
    <xdr:to>
      <xdr:col>9</xdr:col>
      <xdr:colOff>386420</xdr:colOff>
      <xdr:row>8</xdr:row>
      <xdr:rowOff>182001</xdr:rowOff>
    </xdr:to>
    <xdr:sp macro="" textlink="">
      <xdr:nvSpPr>
        <xdr:cNvPr id="13" name="Rectangle: Rounded Corners 12">
          <a:extLst>
            <a:ext uri="{FF2B5EF4-FFF2-40B4-BE49-F238E27FC236}">
              <a16:creationId xmlns:a16="http://schemas.microsoft.com/office/drawing/2014/main" id="{00000000-0008-0000-0200-00000D000000}"/>
            </a:ext>
          </a:extLst>
        </xdr:cNvPr>
        <xdr:cNvSpPr/>
      </xdr:nvSpPr>
      <xdr:spPr>
        <a:xfrm>
          <a:off x="7003948" y="870566"/>
          <a:ext cx="3276182" cy="868209"/>
        </a:xfrm>
        <a:prstGeom prst="roundRect">
          <a:avLst>
            <a:gd name="adj" fmla="val 8802"/>
          </a:avLst>
        </a:prstGeom>
        <a:solidFill>
          <a:schemeClr val="bg1"/>
        </a:solidFill>
        <a:ln w="6350">
          <a:solidFill>
            <a:schemeClr val="bg1">
              <a:lumMod val="7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6</xdr:col>
      <xdr:colOff>1546533</xdr:colOff>
      <xdr:row>4</xdr:row>
      <xdr:rowOff>133146</xdr:rowOff>
    </xdr:from>
    <xdr:to>
      <xdr:col>9</xdr:col>
      <xdr:colOff>235565</xdr:colOff>
      <xdr:row>8</xdr:row>
      <xdr:rowOff>1</xdr:rowOff>
    </xdr:to>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7015727" y="911533"/>
          <a:ext cx="3113548" cy="645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Tracking Balance</a:t>
          </a:r>
          <a:endParaRPr lang="en-IN" sz="1100" b="1"/>
        </a:p>
      </xdr:txBody>
    </xdr:sp>
    <xdr:clientData/>
  </xdr:twoCellAnchor>
  <xdr:twoCellAnchor>
    <xdr:from>
      <xdr:col>6</xdr:col>
      <xdr:colOff>1710403</xdr:colOff>
      <xdr:row>6</xdr:row>
      <xdr:rowOff>112661</xdr:rowOff>
    </xdr:from>
    <xdr:to>
      <xdr:col>9</xdr:col>
      <xdr:colOff>307258</xdr:colOff>
      <xdr:row>8</xdr:row>
      <xdr:rowOff>20484</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7179597" y="1280242"/>
          <a:ext cx="3021371" cy="297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2620 of tracked</a:t>
          </a:r>
          <a:r>
            <a:rPr lang="en-IN" sz="1100" b="1" baseline="0"/>
            <a:t> income to be allocated</a:t>
          </a:r>
          <a:endParaRPr lang="en-IN" sz="11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125604</xdr:colOff>
      <xdr:row>12</xdr:row>
      <xdr:rowOff>146538</xdr:rowOff>
    </xdr:from>
    <xdr:to>
      <xdr:col>33</xdr:col>
      <xdr:colOff>41868</xdr:colOff>
      <xdr:row>22</xdr:row>
      <xdr:rowOff>136070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6772170" y="2491153"/>
          <a:ext cx="2784231" cy="1978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B050"/>
              </a:solidFill>
            </a:rPr>
            <a:t>Income</a:t>
          </a:r>
          <a:r>
            <a:rPr lang="en-IN" sz="1200" b="1" baseline="0"/>
            <a:t> Categories(Tracked)</a:t>
          </a:r>
          <a:endParaRPr lang="en-IN" sz="1200" b="1"/>
        </a:p>
      </xdr:txBody>
    </xdr:sp>
    <xdr:clientData/>
  </xdr:twoCellAnchor>
  <xdr:twoCellAnchor>
    <xdr:from>
      <xdr:col>29</xdr:col>
      <xdr:colOff>471017</xdr:colOff>
      <xdr:row>14</xdr:row>
      <xdr:rowOff>157006</xdr:rowOff>
    </xdr:from>
    <xdr:to>
      <xdr:col>32</xdr:col>
      <xdr:colOff>1015302</xdr:colOff>
      <xdr:row>22</xdr:row>
      <xdr:rowOff>146539</xdr:rowOff>
    </xdr:to>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31</xdr:col>
      <xdr:colOff>125604</xdr:colOff>
      <xdr:row>25</xdr:row>
      <xdr:rowOff>146538</xdr:rowOff>
    </xdr:from>
    <xdr:ext cx="2784231" cy="1978269"/>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6950109" y="2491153"/>
          <a:ext cx="2784231" cy="1978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FF0066"/>
              </a:solidFill>
            </a:rPr>
            <a:t>Expenses</a:t>
          </a:r>
          <a:r>
            <a:rPr lang="en-IN" sz="1200" b="1" baseline="0"/>
            <a:t> Categories(Tracked)</a:t>
          </a:r>
          <a:endParaRPr lang="en-IN" sz="1200" b="1"/>
        </a:p>
      </xdr:txBody>
    </xdr:sp>
    <xdr:clientData/>
  </xdr:oneCellAnchor>
  <xdr:twoCellAnchor>
    <xdr:from>
      <xdr:col>30</xdr:col>
      <xdr:colOff>209339</xdr:colOff>
      <xdr:row>27</xdr:row>
      <xdr:rowOff>94202</xdr:rowOff>
    </xdr:from>
    <xdr:to>
      <xdr:col>32</xdr:col>
      <xdr:colOff>1371179</xdr:colOff>
      <xdr:row>35</xdr:row>
      <xdr:rowOff>83735</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38</xdr:col>
      <xdr:colOff>125604</xdr:colOff>
      <xdr:row>25</xdr:row>
      <xdr:rowOff>146538</xdr:rowOff>
    </xdr:from>
    <xdr:ext cx="2784231" cy="1978269"/>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6950109" y="5076511"/>
          <a:ext cx="2784231" cy="1978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00B0F0"/>
              </a:solidFill>
            </a:rPr>
            <a:t>Savings </a:t>
          </a:r>
          <a:r>
            <a:rPr lang="en-IN" sz="1200" b="1" baseline="0"/>
            <a:t>Categories(Tracked)</a:t>
          </a:r>
          <a:endParaRPr lang="en-IN" sz="1200" b="1"/>
        </a:p>
      </xdr:txBody>
    </xdr:sp>
    <xdr:clientData/>
  </xdr:oneCellAnchor>
  <xdr:twoCellAnchor>
    <xdr:from>
      <xdr:col>37</xdr:col>
      <xdr:colOff>209339</xdr:colOff>
      <xdr:row>27</xdr:row>
      <xdr:rowOff>94202</xdr:rowOff>
    </xdr:from>
    <xdr:to>
      <xdr:col>39</xdr:col>
      <xdr:colOff>1371179</xdr:colOff>
      <xdr:row>35</xdr:row>
      <xdr:rowOff>83735</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586154</xdr:colOff>
      <xdr:row>27</xdr:row>
      <xdr:rowOff>198872</xdr:rowOff>
    </xdr:from>
    <xdr:to>
      <xdr:col>32</xdr:col>
      <xdr:colOff>1130439</xdr:colOff>
      <xdr:row>35</xdr:row>
      <xdr:rowOff>177938</xdr:rowOff>
    </xdr:to>
    <xdr:graphicFrame macro="">
      <xdr:nvGraphicFramePr>
        <xdr:cNvPr id="11" name="Chart 10">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252254</xdr:colOff>
      <xdr:row>26</xdr:row>
      <xdr:rowOff>198873</xdr:rowOff>
    </xdr:from>
    <xdr:to>
      <xdr:col>32</xdr:col>
      <xdr:colOff>868763</xdr:colOff>
      <xdr:row>35</xdr:row>
      <xdr:rowOff>199290</xdr:rowOff>
    </xdr:to>
    <xdr:graphicFrame macro="">
      <xdr:nvGraphicFramePr>
        <xdr:cNvPr id="12" name="Chart 11">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566266</xdr:colOff>
      <xdr:row>14</xdr:row>
      <xdr:rowOff>20932</xdr:rowOff>
    </xdr:from>
    <xdr:to>
      <xdr:col>32</xdr:col>
      <xdr:colOff>889698</xdr:colOff>
      <xdr:row>24</xdr:row>
      <xdr:rowOff>63219</xdr:rowOff>
    </xdr:to>
    <xdr:graphicFrame macro="">
      <xdr:nvGraphicFramePr>
        <xdr:cNvPr id="16" name="Chart 15">
          <a:extLst>
            <a:ext uri="{FF2B5EF4-FFF2-40B4-BE49-F238E27FC236}">
              <a16:creationId xmlns:a16="http://schemas.microsoft.com/office/drawing/2014/main" id="{00000000-0008-0000-0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62802</xdr:colOff>
      <xdr:row>12</xdr:row>
      <xdr:rowOff>20934</xdr:rowOff>
    </xdr:from>
    <xdr:to>
      <xdr:col>40</xdr:col>
      <xdr:colOff>104669</xdr:colOff>
      <xdr:row>15</xdr:row>
      <xdr:rowOff>83737</xdr:rowOff>
    </xdr:to>
    <xdr:sp macro="" textlink="">
      <xdr:nvSpPr>
        <xdr:cNvPr id="17" name="TextBox 16">
          <a:extLst>
            <a:ext uri="{FF2B5EF4-FFF2-40B4-BE49-F238E27FC236}">
              <a16:creationId xmlns:a16="http://schemas.microsoft.com/office/drawing/2014/main" id="{00000000-0008-0000-0300-000011000000}"/>
            </a:ext>
          </a:extLst>
        </xdr:cNvPr>
        <xdr:cNvSpPr txBox="1"/>
      </xdr:nvSpPr>
      <xdr:spPr>
        <a:xfrm>
          <a:off x="12989588" y="2365549"/>
          <a:ext cx="2826097" cy="659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Tracked</a:t>
          </a:r>
          <a:r>
            <a:rPr lang="en-IN" sz="1400" b="1" baseline="0"/>
            <a:t> (Vs. Budget)</a:t>
          </a:r>
          <a:endParaRPr lang="en-IN" sz="1400" b="1"/>
        </a:p>
      </xdr:txBody>
    </xdr:sp>
    <xdr:clientData/>
  </xdr:twoCellAnchor>
  <xdr:twoCellAnchor>
    <xdr:from>
      <xdr:col>38</xdr:col>
      <xdr:colOff>282609</xdr:colOff>
      <xdr:row>27</xdr:row>
      <xdr:rowOff>115138</xdr:rowOff>
    </xdr:from>
    <xdr:to>
      <xdr:col>39</xdr:col>
      <xdr:colOff>679309</xdr:colOff>
      <xdr:row>39</xdr:row>
      <xdr:rowOff>31821</xdr:rowOff>
    </xdr:to>
    <xdr:graphicFrame macro="">
      <xdr:nvGraphicFramePr>
        <xdr:cNvPr id="18" name="Chart 17">
          <a:extLst>
            <a:ext uri="{FF2B5EF4-FFF2-40B4-BE49-F238E27FC236}">
              <a16:creationId xmlns:a16="http://schemas.microsoft.com/office/drawing/2014/main" id="{00000000-0008-0000-03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38</xdr:col>
      <xdr:colOff>188405</xdr:colOff>
      <xdr:row>13</xdr:row>
      <xdr:rowOff>146539</xdr:rowOff>
    </xdr:from>
    <xdr:to>
      <xdr:col>43</xdr:col>
      <xdr:colOff>167472</xdr:colOff>
      <xdr:row>23</xdr:row>
      <xdr:rowOff>20935</xdr:rowOff>
    </xdr:to>
    <xdr:graphicFrame macro="">
      <xdr:nvGraphicFramePr>
        <xdr:cNvPr id="19" name="Chart 18">
          <a:extLst>
            <a:ext uri="{FF2B5EF4-FFF2-40B4-BE49-F238E27FC236}">
              <a16:creationId xmlns:a16="http://schemas.microsoft.com/office/drawing/2014/main" id="{00000000-0008-0000-03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4</xdr:row>
      <xdr:rowOff>0</xdr:rowOff>
    </xdr:from>
    <xdr:to>
      <xdr:col>25</xdr:col>
      <xdr:colOff>62802</xdr:colOff>
      <xdr:row>8</xdr:row>
      <xdr:rowOff>41313</xdr:rowOff>
    </xdr:to>
    <xdr:sp macro="" textlink="">
      <xdr:nvSpPr>
        <xdr:cNvPr id="20" name="Rectangle: Rounded Corners 19">
          <a:extLst>
            <a:ext uri="{FF2B5EF4-FFF2-40B4-BE49-F238E27FC236}">
              <a16:creationId xmlns:a16="http://schemas.microsoft.com/office/drawing/2014/main" id="{00000000-0008-0000-0300-000014000000}"/>
            </a:ext>
          </a:extLst>
        </xdr:cNvPr>
        <xdr:cNvSpPr/>
      </xdr:nvSpPr>
      <xdr:spPr>
        <a:xfrm>
          <a:off x="1067637" y="753626"/>
          <a:ext cx="2198077" cy="868209"/>
        </a:xfrm>
        <a:prstGeom prst="roundRect">
          <a:avLst>
            <a:gd name="adj" fmla="val 8802"/>
          </a:avLst>
        </a:prstGeom>
        <a:solidFill>
          <a:schemeClr val="bg1"/>
        </a:solidFill>
        <a:ln w="6350">
          <a:solidFill>
            <a:schemeClr val="bg1">
              <a:lumMod val="7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24</xdr:col>
      <xdr:colOff>209341</xdr:colOff>
      <xdr:row>4</xdr:row>
      <xdr:rowOff>41870</xdr:rowOff>
    </xdr:from>
    <xdr:to>
      <xdr:col>24</xdr:col>
      <xdr:colOff>2030605</xdr:colOff>
      <xdr:row>6</xdr:row>
      <xdr:rowOff>198874</xdr:rowOff>
    </xdr:to>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1276978" y="795496"/>
          <a:ext cx="1821264" cy="533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Selected Year &amp; Period</a:t>
          </a:r>
        </a:p>
      </xdr:txBody>
    </xdr:sp>
    <xdr:clientData/>
  </xdr:twoCellAnchor>
  <xdr:oneCellAnchor>
    <xdr:from>
      <xdr:col>24</xdr:col>
      <xdr:colOff>376814</xdr:colOff>
      <xdr:row>7</xdr:row>
      <xdr:rowOff>136072</xdr:rowOff>
    </xdr:from>
    <xdr:ext cx="184731" cy="264560"/>
    <xdr:sp macro="" textlink="">
      <xdr:nvSpPr>
        <xdr:cNvPr id="22" name="TextBox 21">
          <a:extLst>
            <a:ext uri="{FF2B5EF4-FFF2-40B4-BE49-F238E27FC236}">
              <a16:creationId xmlns:a16="http://schemas.microsoft.com/office/drawing/2014/main" id="{00000000-0008-0000-0300-000016000000}"/>
            </a:ext>
          </a:extLst>
        </xdr:cNvPr>
        <xdr:cNvSpPr txBox="1"/>
      </xdr:nvSpPr>
      <xdr:spPr>
        <a:xfrm>
          <a:off x="1444451" y="15281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24</xdr:col>
      <xdr:colOff>157006</xdr:colOff>
      <xdr:row>6</xdr:row>
      <xdr:rowOff>20934</xdr:rowOff>
    </xdr:from>
    <xdr:to>
      <xdr:col>24</xdr:col>
      <xdr:colOff>1214176</xdr:colOff>
      <xdr:row>7</xdr:row>
      <xdr:rowOff>94204</xdr:rowOff>
    </xdr:to>
    <xdr:sp macro="" textlink="STARTING_YEAR">
      <xdr:nvSpPr>
        <xdr:cNvPr id="23" name="TextBox 22">
          <a:extLst>
            <a:ext uri="{FF2B5EF4-FFF2-40B4-BE49-F238E27FC236}">
              <a16:creationId xmlns:a16="http://schemas.microsoft.com/office/drawing/2014/main" id="{00000000-0008-0000-0300-000017000000}"/>
            </a:ext>
          </a:extLst>
        </xdr:cNvPr>
        <xdr:cNvSpPr txBox="1"/>
      </xdr:nvSpPr>
      <xdr:spPr>
        <a:xfrm>
          <a:off x="1224643" y="1151374"/>
          <a:ext cx="1057170" cy="33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FFE780-36AC-4A91-ABAC-D45849605216}" type="TxLink">
            <a:rPr lang="en-US" sz="1200" b="1" i="0" u="none" strike="noStrike">
              <a:solidFill>
                <a:srgbClr val="000000"/>
              </a:solidFill>
              <a:latin typeface="Calibri"/>
              <a:ea typeface="Calibri"/>
              <a:cs typeface="Calibri"/>
            </a:rPr>
            <a:pPr algn="ctr"/>
            <a:t>2022</a:t>
          </a:fld>
          <a:endParaRPr lang="en-IN" sz="1200" b="1"/>
        </a:p>
      </xdr:txBody>
    </xdr:sp>
    <xdr:clientData/>
  </xdr:twoCellAnchor>
  <xdr:twoCellAnchor>
    <xdr:from>
      <xdr:col>24</xdr:col>
      <xdr:colOff>962968</xdr:colOff>
      <xdr:row>5</xdr:row>
      <xdr:rowOff>177940</xdr:rowOff>
    </xdr:from>
    <xdr:to>
      <xdr:col>25</xdr:col>
      <xdr:colOff>20935</xdr:colOff>
      <xdr:row>7</xdr:row>
      <xdr:rowOff>62803</xdr:rowOff>
    </xdr:to>
    <xdr:sp macro="" textlink="">
      <xdr:nvSpPr>
        <xdr:cNvPr id="24" name="TextBox 23">
          <a:extLst>
            <a:ext uri="{FF2B5EF4-FFF2-40B4-BE49-F238E27FC236}">
              <a16:creationId xmlns:a16="http://schemas.microsoft.com/office/drawing/2014/main" id="{00000000-0008-0000-0300-000018000000}"/>
            </a:ext>
          </a:extLst>
        </xdr:cNvPr>
        <xdr:cNvSpPr txBox="1"/>
      </xdr:nvSpPr>
      <xdr:spPr>
        <a:xfrm>
          <a:off x="2030605" y="1119973"/>
          <a:ext cx="1193242" cy="33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MARCH</a:t>
          </a:r>
        </a:p>
      </xdr:txBody>
    </xdr:sp>
    <xdr:clientData/>
  </xdr:twoCellAnchor>
  <xdr:twoCellAnchor>
    <xdr:from>
      <xdr:col>25</xdr:col>
      <xdr:colOff>366347</xdr:colOff>
      <xdr:row>4</xdr:row>
      <xdr:rowOff>31401</xdr:rowOff>
    </xdr:from>
    <xdr:to>
      <xdr:col>27</xdr:col>
      <xdr:colOff>471017</xdr:colOff>
      <xdr:row>8</xdr:row>
      <xdr:rowOff>72714</xdr:rowOff>
    </xdr:to>
    <xdr:sp macro="" textlink="">
      <xdr:nvSpPr>
        <xdr:cNvPr id="25" name="Rectangle: Rounded Corners 24">
          <a:extLst>
            <a:ext uri="{FF2B5EF4-FFF2-40B4-BE49-F238E27FC236}">
              <a16:creationId xmlns:a16="http://schemas.microsoft.com/office/drawing/2014/main" id="{00000000-0008-0000-0300-000019000000}"/>
            </a:ext>
          </a:extLst>
        </xdr:cNvPr>
        <xdr:cNvSpPr/>
      </xdr:nvSpPr>
      <xdr:spPr>
        <a:xfrm>
          <a:off x="3569259" y="785027"/>
          <a:ext cx="1559588" cy="868209"/>
        </a:xfrm>
        <a:prstGeom prst="roundRect">
          <a:avLst>
            <a:gd name="adj" fmla="val 8802"/>
          </a:avLst>
        </a:prstGeom>
        <a:solidFill>
          <a:schemeClr val="bg1"/>
        </a:solidFill>
        <a:ln w="6350">
          <a:solidFill>
            <a:schemeClr val="bg1">
              <a:lumMod val="7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25</xdr:col>
      <xdr:colOff>565220</xdr:colOff>
      <xdr:row>4</xdr:row>
      <xdr:rowOff>41869</xdr:rowOff>
    </xdr:from>
    <xdr:to>
      <xdr:col>27</xdr:col>
      <xdr:colOff>324478</xdr:colOff>
      <xdr:row>6</xdr:row>
      <xdr:rowOff>104670</xdr:rowOff>
    </xdr:to>
    <xdr:sp macro="" textlink="">
      <xdr:nvSpPr>
        <xdr:cNvPr id="26" name="TextBox 25">
          <a:extLst>
            <a:ext uri="{FF2B5EF4-FFF2-40B4-BE49-F238E27FC236}">
              <a16:creationId xmlns:a16="http://schemas.microsoft.com/office/drawing/2014/main" id="{00000000-0008-0000-0300-00001A000000}"/>
            </a:ext>
          </a:extLst>
        </xdr:cNvPr>
        <xdr:cNvSpPr txBox="1"/>
      </xdr:nvSpPr>
      <xdr:spPr>
        <a:xfrm>
          <a:off x="3768132" y="795495"/>
          <a:ext cx="1214176" cy="439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Period</a:t>
          </a:r>
          <a:r>
            <a:rPr lang="en-IN" sz="1200" b="1" baseline="0"/>
            <a:t> Compl.</a:t>
          </a:r>
        </a:p>
        <a:p>
          <a:pPr algn="ctr"/>
          <a:endParaRPr lang="en-IN" sz="1200" b="1"/>
        </a:p>
      </xdr:txBody>
    </xdr:sp>
    <xdr:clientData/>
  </xdr:twoCellAnchor>
  <xdr:twoCellAnchor>
    <xdr:from>
      <xdr:col>26</xdr:col>
      <xdr:colOff>83737</xdr:colOff>
      <xdr:row>6</xdr:row>
      <xdr:rowOff>10467</xdr:rowOff>
    </xdr:from>
    <xdr:to>
      <xdr:col>27</xdr:col>
      <xdr:colOff>136071</xdr:colOff>
      <xdr:row>7</xdr:row>
      <xdr:rowOff>31401</xdr:rowOff>
    </xdr:to>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3977473" y="1140907"/>
          <a:ext cx="816428" cy="282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20%</a:t>
          </a:r>
        </a:p>
      </xdr:txBody>
    </xdr:sp>
    <xdr:clientData/>
  </xdr:twoCellAnchor>
  <xdr:twoCellAnchor>
    <xdr:from>
      <xdr:col>26</xdr:col>
      <xdr:colOff>125605</xdr:colOff>
      <xdr:row>6</xdr:row>
      <xdr:rowOff>41867</xdr:rowOff>
    </xdr:from>
    <xdr:to>
      <xdr:col>27</xdr:col>
      <xdr:colOff>324476</xdr:colOff>
      <xdr:row>7</xdr:row>
      <xdr:rowOff>146539</xdr:rowOff>
    </xdr:to>
    <xdr:graphicFrame macro="">
      <xdr:nvGraphicFramePr>
        <xdr:cNvPr id="28" name="Chart 27">
          <a:extLst>
            <a:ext uri="{FF2B5EF4-FFF2-40B4-BE49-F238E27FC236}">
              <a16:creationId xmlns:a16="http://schemas.microsoft.com/office/drawing/2014/main"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73268</xdr:colOff>
      <xdr:row>4</xdr:row>
      <xdr:rowOff>41868</xdr:rowOff>
    </xdr:from>
    <xdr:to>
      <xdr:col>32</xdr:col>
      <xdr:colOff>125604</xdr:colOff>
      <xdr:row>8</xdr:row>
      <xdr:rowOff>83181</xdr:rowOff>
    </xdr:to>
    <xdr:sp macro="" textlink="">
      <xdr:nvSpPr>
        <xdr:cNvPr id="29" name="Rectangle: Rounded Corners 28">
          <a:extLst>
            <a:ext uri="{FF2B5EF4-FFF2-40B4-BE49-F238E27FC236}">
              <a16:creationId xmlns:a16="http://schemas.microsoft.com/office/drawing/2014/main" id="{00000000-0008-0000-0300-00001D000000}"/>
            </a:ext>
          </a:extLst>
        </xdr:cNvPr>
        <xdr:cNvSpPr/>
      </xdr:nvSpPr>
      <xdr:spPr>
        <a:xfrm>
          <a:off x="5348653" y="795494"/>
          <a:ext cx="3276182" cy="868209"/>
        </a:xfrm>
        <a:prstGeom prst="roundRect">
          <a:avLst>
            <a:gd name="adj" fmla="val 8802"/>
          </a:avLst>
        </a:prstGeom>
        <a:solidFill>
          <a:schemeClr val="bg1"/>
        </a:solidFill>
        <a:ln w="6350">
          <a:solidFill>
            <a:schemeClr val="bg1">
              <a:lumMod val="7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28</xdr:col>
      <xdr:colOff>94202</xdr:colOff>
      <xdr:row>4</xdr:row>
      <xdr:rowOff>52337</xdr:rowOff>
    </xdr:from>
    <xdr:to>
      <xdr:col>31</xdr:col>
      <xdr:colOff>1046704</xdr:colOff>
      <xdr:row>6</xdr:row>
      <xdr:rowOff>10467</xdr:rowOff>
    </xdr:to>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5369587" y="805963"/>
          <a:ext cx="2784232" cy="334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l"/>
          <a:r>
            <a:rPr lang="en-IN" sz="1100" b="1"/>
            <a:t>Total Tracking Balance</a:t>
          </a:r>
        </a:p>
      </xdr:txBody>
    </xdr:sp>
    <xdr:clientData/>
  </xdr:twoCellAnchor>
  <xdr:twoCellAnchor>
    <xdr:from>
      <xdr:col>28</xdr:col>
      <xdr:colOff>104670</xdr:colOff>
      <xdr:row>6</xdr:row>
      <xdr:rowOff>41868</xdr:rowOff>
    </xdr:from>
    <xdr:to>
      <xdr:col>31</xdr:col>
      <xdr:colOff>1381649</xdr:colOff>
      <xdr:row>7</xdr:row>
      <xdr:rowOff>157006</xdr:rowOff>
    </xdr:to>
    <xdr:sp macro="" textlink="">
      <xdr:nvSpPr>
        <xdr:cNvPr id="31" name="TextBox 30">
          <a:extLst>
            <a:ext uri="{FF2B5EF4-FFF2-40B4-BE49-F238E27FC236}">
              <a16:creationId xmlns:a16="http://schemas.microsoft.com/office/drawing/2014/main" id="{00000000-0008-0000-0300-00001F000000}"/>
            </a:ext>
          </a:extLst>
        </xdr:cNvPr>
        <xdr:cNvSpPr txBox="1"/>
      </xdr:nvSpPr>
      <xdr:spPr>
        <a:xfrm>
          <a:off x="5380055" y="1172308"/>
          <a:ext cx="3108709" cy="376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2620    of tracked income left to be allocatd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991719</xdr:colOff>
      <xdr:row>31</xdr:row>
      <xdr:rowOff>146795</xdr:rowOff>
    </xdr:from>
    <xdr:to>
      <xdr:col>20</xdr:col>
      <xdr:colOff>453837</xdr:colOff>
      <xdr:row>45</xdr:row>
      <xdr:rowOff>166966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342900</xdr:colOff>
          <xdr:row>48</xdr:row>
          <xdr:rowOff>38100</xdr:rowOff>
        </xdr:from>
        <xdr:to>
          <xdr:col>7</xdr:col>
          <xdr:colOff>771525</xdr:colOff>
          <xdr:row>49</xdr:row>
          <xdr:rowOff>76200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INCOME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342900</xdr:colOff>
          <xdr:row>49</xdr:row>
          <xdr:rowOff>38100</xdr:rowOff>
        </xdr:from>
        <xdr:to>
          <xdr:col>7</xdr:col>
          <xdr:colOff>533400</xdr:colOff>
          <xdr:row>50</xdr:row>
          <xdr:rowOff>66675</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EXPENSES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466725</xdr:colOff>
          <xdr:row>50</xdr:row>
          <xdr:rowOff>85725</xdr:rowOff>
        </xdr:from>
        <xdr:to>
          <xdr:col>7</xdr:col>
          <xdr:colOff>247650</xdr:colOff>
          <xdr:row>51</xdr:row>
          <xdr:rowOff>114300</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SAVINGS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590550</xdr:colOff>
          <xdr:row>49</xdr:row>
          <xdr:rowOff>38100</xdr:rowOff>
        </xdr:from>
        <xdr:to>
          <xdr:col>8</xdr:col>
          <xdr:colOff>1581150</xdr:colOff>
          <xdr:row>50</xdr:row>
          <xdr:rowOff>76200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BUDGET</a:t>
              </a:r>
            </a:p>
          </xdr:txBody>
        </xdr:sp>
        <xdr:clientData/>
      </xdr:twoCellAnchor>
    </mc:Choice>
    <mc:Fallback/>
  </mc:AlternateContent>
  <xdr:twoCellAnchor>
    <xdr:from>
      <xdr:col>7</xdr:col>
      <xdr:colOff>560294</xdr:colOff>
      <xdr:row>9</xdr:row>
      <xdr:rowOff>146797</xdr:rowOff>
    </xdr:from>
    <xdr:to>
      <xdr:col>11</xdr:col>
      <xdr:colOff>235323</xdr:colOff>
      <xdr:row>16</xdr:row>
      <xdr:rowOff>123265</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CCDD84-A8DE-4C4F-A736-31CC5594B25B}" name="TRACKING" displayName="TRACKING" ref="C11:I69" totalsRowShown="0" headerRowDxfId="14" dataDxfId="13">
  <autoFilter ref="C11:I69" xr:uid="{92CCDD84-A8DE-4C4F-A736-31CC5594B25B}"/>
  <sortState xmlns:xlrd2="http://schemas.microsoft.com/office/spreadsheetml/2017/richdata2" ref="C12:I69">
    <sortCondition ref="C11:C69"/>
  </sortState>
  <tableColumns count="7">
    <tableColumn id="1" xr3:uid="{CAD0B514-759D-4D6F-8695-F8506F8C24F6}" name="Date" dataDxfId="12"/>
    <tableColumn id="2" xr3:uid="{8EF2291B-9174-4BED-BF52-04AEDEF51078}" name="Type" dataDxfId="11"/>
    <tableColumn id="3" xr3:uid="{4CB12C55-8A68-4C2B-B652-B21D603E5FE9}" name="Category" dataDxfId="10"/>
    <tableColumn id="4" xr3:uid="{4CBC4FC3-9E32-4C7A-89E2-015ADB8CD86D}" name="Amount" dataDxfId="9" dataCellStyle="Comma"/>
    <tableColumn id="5" xr3:uid="{13E9ECFC-51D8-41DB-8BAC-5448EF044D6B}" name="Details" dataDxfId="8"/>
    <tableColumn id="6" xr3:uid="{3B96C2D1-58D5-4D50-8F92-D7D9A4F71790}" name="BALANCE" dataDxfId="7" dataCellStyle="Comma">
      <calculatedColumnFormula array="1">SUMPRODUCT(TRACKING[Amount],(TRACKING[Date]&lt;=TRACKING[[#This Row],[Date]])*1)</calculatedColumnFormula>
    </tableColumn>
    <tableColumn id="7" xr3:uid="{0DDA11A1-3C33-40A9-9145-BA1515CE39F7}" name="EFFECTIVE DATE" dataDxfId="6">
      <calculatedColumnFormula>IF(AND(TRACKING[[#This Row],[Type]]="INCOME",shift_late_income_status_2="Active",DAY(TRACKING[[#This Row],[Date]])&gt;=Shift_late_income_starting_day), DATE(YEAR(TRACKING[[#This Row],[Date]]),MONTH(TRACKING[[#This Row],[Date]])+1,1),TRACKING[[#This Row],[Date]])</calculatedColumnFormula>
    </tableColumn>
  </tableColumns>
  <tableStyleInfo name="tracking table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3.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3EB5A-DBE3-48E6-9A5C-1A648A2A61EA}">
  <dimension ref="C1:H24"/>
  <sheetViews>
    <sheetView showGridLines="0" topLeftCell="A4" zoomScale="88" workbookViewId="0">
      <selection activeCell="E8" sqref="E8"/>
    </sheetView>
  </sheetViews>
  <sheetFormatPr defaultRowHeight="15" x14ac:dyDescent="0.25"/>
  <cols>
    <col min="1" max="1" width="3.28515625" customWidth="1"/>
    <col min="2" max="2" width="2.42578125" customWidth="1"/>
    <col min="3" max="3" width="2.5703125" customWidth="1"/>
    <col min="4" max="4" width="30.42578125" customWidth="1"/>
    <col min="5" max="5" width="15.85546875" customWidth="1"/>
    <col min="6" max="6" width="3" customWidth="1"/>
    <col min="7" max="7" width="89.7109375" customWidth="1"/>
    <col min="8" max="8" width="7" customWidth="1"/>
  </cols>
  <sheetData>
    <row r="1" spans="3:8" x14ac:dyDescent="0.25">
      <c r="F1" s="1"/>
    </row>
    <row r="6" spans="3:8" x14ac:dyDescent="0.25">
      <c r="C6" s="66" t="s">
        <v>0</v>
      </c>
      <c r="D6" s="67"/>
      <c r="E6" s="63"/>
      <c r="F6" s="63"/>
      <c r="G6" s="63"/>
      <c r="H6" s="64"/>
    </row>
    <row r="7" spans="3:8" x14ac:dyDescent="0.25">
      <c r="C7" s="58"/>
      <c r="H7" s="59"/>
    </row>
    <row r="8" spans="3:8" x14ac:dyDescent="0.25">
      <c r="C8" s="58"/>
      <c r="D8" s="56" t="s">
        <v>39</v>
      </c>
      <c r="E8" s="65">
        <v>2022</v>
      </c>
      <c r="G8" s="57" t="s">
        <v>44</v>
      </c>
      <c r="H8" s="59"/>
    </row>
    <row r="9" spans="3:8" x14ac:dyDescent="0.25">
      <c r="C9" s="60"/>
      <c r="D9" s="61"/>
      <c r="E9" s="61"/>
      <c r="F9" s="61"/>
      <c r="G9" s="61"/>
      <c r="H9" s="62"/>
    </row>
    <row r="12" spans="3:8" x14ac:dyDescent="0.25">
      <c r="C12" s="198" t="s">
        <v>38</v>
      </c>
      <c r="D12" s="198"/>
      <c r="E12" s="198"/>
      <c r="F12" s="198"/>
      <c r="G12" s="198"/>
      <c r="H12" s="198"/>
    </row>
    <row r="13" spans="3:8" x14ac:dyDescent="0.25">
      <c r="C13" s="68"/>
      <c r="H13" s="69"/>
    </row>
    <row r="14" spans="3:8" x14ac:dyDescent="0.25">
      <c r="C14" s="68"/>
      <c r="D14" s="74" t="s">
        <v>40</v>
      </c>
      <c r="H14" s="69"/>
    </row>
    <row r="15" spans="3:8" x14ac:dyDescent="0.25">
      <c r="C15" s="68"/>
      <c r="H15" s="69"/>
    </row>
    <row r="16" spans="3:8" x14ac:dyDescent="0.25">
      <c r="C16" s="68"/>
      <c r="D16" s="73" t="s">
        <v>41</v>
      </c>
      <c r="E16" s="75" t="s">
        <v>42</v>
      </c>
      <c r="G16" s="199" t="s">
        <v>45</v>
      </c>
      <c r="H16" s="69"/>
    </row>
    <row r="17" spans="3:8" x14ac:dyDescent="0.25">
      <c r="C17" s="68"/>
      <c r="G17" s="199"/>
      <c r="H17" s="69"/>
    </row>
    <row r="18" spans="3:8" x14ac:dyDescent="0.25">
      <c r="C18" s="68"/>
      <c r="D18" s="56" t="s">
        <v>43</v>
      </c>
      <c r="E18" s="65">
        <v>20</v>
      </c>
      <c r="G18" s="199"/>
      <c r="H18" s="69"/>
    </row>
    <row r="19" spans="3:8" x14ac:dyDescent="0.25">
      <c r="C19" s="68"/>
      <c r="H19" s="69"/>
    </row>
    <row r="20" spans="3:8" x14ac:dyDescent="0.25">
      <c r="C20" s="68"/>
      <c r="H20" s="69"/>
    </row>
    <row r="21" spans="3:8" x14ac:dyDescent="0.25">
      <c r="C21" s="68"/>
      <c r="H21" s="69"/>
    </row>
    <row r="22" spans="3:8" x14ac:dyDescent="0.25">
      <c r="C22" s="68"/>
      <c r="H22" s="69"/>
    </row>
    <row r="23" spans="3:8" x14ac:dyDescent="0.25">
      <c r="C23" s="68"/>
      <c r="H23" s="69"/>
    </row>
    <row r="24" spans="3:8" x14ac:dyDescent="0.25">
      <c r="C24" s="70"/>
      <c r="D24" s="71"/>
      <c r="E24" s="71"/>
      <c r="F24" s="71"/>
      <c r="G24" s="71"/>
      <c r="H24" s="72"/>
    </row>
  </sheetData>
  <mergeCells count="2">
    <mergeCell ref="C12:H12"/>
    <mergeCell ref="G16:G18"/>
  </mergeCells>
  <conditionalFormatting sqref="E18">
    <cfRule type="expression" dxfId="5" priority="1">
      <formula>shift_late_income_status_2="Inactive"</formula>
    </cfRule>
  </conditionalFormatting>
  <dataValidations count="1">
    <dataValidation type="list" allowBlank="1" showInputMessage="1" showErrorMessage="1" sqref="E16" xr:uid="{AD59A9CB-0724-4715-86E1-061F02D66248}">
      <formula1>"Active,Inactive"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C8F6C-0BC4-4B9C-8937-2C832F819780}">
  <dimension ref="A1:BG55"/>
  <sheetViews>
    <sheetView showGridLines="0" tabSelected="1" workbookViewId="0">
      <selection activeCell="AP26" sqref="AP26"/>
    </sheetView>
  </sheetViews>
  <sheetFormatPr defaultRowHeight="15" outlineLevelCol="1" x14ac:dyDescent="0.25"/>
  <cols>
    <col min="1" max="1" width="4.5703125" customWidth="1"/>
    <col min="2" max="2" width="3.28515625" customWidth="1"/>
    <col min="3" max="3" width="28.5703125" customWidth="1"/>
    <col min="4" max="4" width="3.85546875" customWidth="1"/>
    <col min="5" max="5" width="8.42578125" customWidth="1" outlineLevel="1"/>
    <col min="6" max="6" width="8.5703125" customWidth="1" outlineLevel="1"/>
    <col min="7" max="7" width="7.85546875" customWidth="1" outlineLevel="1"/>
    <col min="8" max="8" width="8.140625" customWidth="1" outlineLevel="1"/>
    <col min="9" max="9" width="7.42578125" customWidth="1" outlineLevel="1"/>
    <col min="10" max="10" width="8" customWidth="1" outlineLevel="1"/>
    <col min="11" max="11" width="9.42578125" customWidth="1" outlineLevel="1"/>
    <col min="12" max="12" width="7.85546875" customWidth="1" outlineLevel="1"/>
    <col min="13" max="13" width="9.85546875" customWidth="1" outlineLevel="1"/>
    <col min="14" max="14" width="9.5703125" customWidth="1" outlineLevel="1"/>
    <col min="15" max="15" width="9.7109375" customWidth="1" outlineLevel="1"/>
    <col min="16" max="16" width="11.140625" customWidth="1" outlineLevel="1"/>
    <col min="17" max="17" width="11.42578125" customWidth="1"/>
    <col min="18" max="18" width="2.42578125" customWidth="1"/>
    <col min="32" max="32" width="3.7109375" customWidth="1"/>
    <col min="46" max="46" width="3.42578125" customWidth="1"/>
  </cols>
  <sheetData>
    <row r="1" spans="1:59" x14ac:dyDescent="0.25">
      <c r="A1" s="201" t="s">
        <v>1</v>
      </c>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0"/>
      <c r="AB1" s="200"/>
      <c r="AC1" s="200"/>
      <c r="AD1" s="200"/>
      <c r="AE1" s="200"/>
      <c r="AF1" s="200"/>
      <c r="AG1" s="200"/>
      <c r="AH1" s="200"/>
      <c r="AI1" s="200"/>
      <c r="AJ1" s="200"/>
      <c r="AK1" s="200"/>
      <c r="AL1" s="200"/>
      <c r="AM1" s="200"/>
      <c r="AN1" s="200"/>
      <c r="AO1" s="200"/>
      <c r="AP1" s="200"/>
      <c r="AQ1" s="200"/>
      <c r="AR1" s="200"/>
      <c r="AS1" s="200"/>
      <c r="AT1" s="200"/>
      <c r="AU1" s="200"/>
      <c r="AV1" s="200"/>
      <c r="AW1" s="200"/>
      <c r="AX1" s="200"/>
      <c r="AY1" s="200"/>
      <c r="AZ1" s="200"/>
      <c r="BA1" s="200"/>
      <c r="BB1" s="200"/>
      <c r="BC1" s="200"/>
      <c r="BD1" s="200"/>
      <c r="BE1" s="200"/>
      <c r="BF1" s="200"/>
      <c r="BG1" s="200"/>
    </row>
    <row r="2" spans="1:59" x14ac:dyDescent="0.25">
      <c r="A2" s="202"/>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row>
    <row r="3" spans="1:59" x14ac:dyDescent="0.25">
      <c r="A3" s="202"/>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row>
    <row r="5" spans="1:59" x14ac:dyDescent="0.25">
      <c r="C5" s="19" t="s">
        <v>2</v>
      </c>
      <c r="E5" s="198">
        <f>STARTING_YEAR</f>
        <v>2022</v>
      </c>
      <c r="F5" s="198"/>
      <c r="G5" s="198"/>
      <c r="H5" s="198"/>
      <c r="I5" s="198"/>
      <c r="J5" s="198"/>
      <c r="K5" s="198"/>
      <c r="L5" s="198"/>
      <c r="M5" s="198"/>
      <c r="N5" s="198"/>
      <c r="O5" s="198"/>
      <c r="P5" s="198"/>
      <c r="Q5" s="198"/>
      <c r="S5" s="198">
        <f>E5+1</f>
        <v>2023</v>
      </c>
      <c r="T5" s="198"/>
      <c r="U5" s="198"/>
      <c r="V5" s="198"/>
      <c r="W5" s="198"/>
      <c r="X5" s="198"/>
      <c r="Y5" s="198"/>
      <c r="Z5" s="198"/>
      <c r="AA5" s="198"/>
      <c r="AB5" s="198"/>
      <c r="AC5" s="198"/>
      <c r="AD5" s="198"/>
      <c r="AE5" s="198"/>
      <c r="AG5" s="198">
        <f>S5+1</f>
        <v>2024</v>
      </c>
      <c r="AH5" s="198"/>
      <c r="AI5" s="198"/>
      <c r="AJ5" s="198"/>
      <c r="AK5" s="198"/>
      <c r="AL5" s="198"/>
      <c r="AM5" s="198"/>
      <c r="AN5" s="198"/>
      <c r="AO5" s="198"/>
      <c r="AP5" s="198"/>
      <c r="AQ5" s="198"/>
      <c r="AR5" s="198"/>
      <c r="AS5" s="198"/>
      <c r="AU5" s="198">
        <f>AG5+1</f>
        <v>2025</v>
      </c>
      <c r="AV5" s="198"/>
      <c r="AW5" s="198"/>
      <c r="AX5" s="198"/>
      <c r="AY5" s="198"/>
      <c r="AZ5" s="198"/>
      <c r="BA5" s="198"/>
      <c r="BB5" s="198"/>
      <c r="BC5" s="198"/>
      <c r="BD5" s="198"/>
      <c r="BE5" s="198"/>
      <c r="BF5" s="198"/>
      <c r="BG5" s="198"/>
    </row>
    <row r="6" spans="1:59" x14ac:dyDescent="0.25">
      <c r="C6" s="16"/>
      <c r="E6" s="21" t="str">
        <f>IF(E7=0,"Jan √","Jan")</f>
        <v>Jan √</v>
      </c>
      <c r="F6" s="21" t="str">
        <f>IF(F7=0,"Feb √","Feb")</f>
        <v>Feb √</v>
      </c>
      <c r="G6" s="21" t="str">
        <f>IF(G7=0,"Mar √","Mar")</f>
        <v>Mar √</v>
      </c>
      <c r="H6" s="21" t="str">
        <f>IF(H7=0,"Apr √","Apr")</f>
        <v>Apr √</v>
      </c>
      <c r="I6" s="21" t="str">
        <f>IF(I7=0,"May √","May")</f>
        <v>May √</v>
      </c>
      <c r="J6" s="21" t="str">
        <f>IF(J7=0,"Jun √","Jun")</f>
        <v>Jun √</v>
      </c>
      <c r="K6" s="21" t="str">
        <f>IF(K7=0,"Jul √","Jul")</f>
        <v>Jul √</v>
      </c>
      <c r="L6" s="21" t="str">
        <f>IF(L7=0,"Aug √","Aug")</f>
        <v>Aug √</v>
      </c>
      <c r="M6" s="21" t="str">
        <f>IF(M7=0,"Sep √","Sep")</f>
        <v>Sep √</v>
      </c>
      <c r="N6" s="21" t="str">
        <f>IF(N7=0,"Oct √","Oct")</f>
        <v>Oct √</v>
      </c>
      <c r="O6" s="21" t="str">
        <f>IF(O7=0,"Nov √","Nov")</f>
        <v>Nov √</v>
      </c>
      <c r="P6" s="21" t="str">
        <f>IF(P7=0,"Dec √","Dec")</f>
        <v>Dec √</v>
      </c>
      <c r="Q6" s="21" t="str">
        <f>IF(Q7=0,"Total √","Total")</f>
        <v>Total √</v>
      </c>
      <c r="S6" s="21" t="str">
        <f>IF(S7=0,"Jan √","Jan")</f>
        <v>Jan √</v>
      </c>
      <c r="T6" s="21" t="str">
        <f>IF(T7=0,"Feb √","Feb")</f>
        <v>Feb √</v>
      </c>
      <c r="U6" s="21" t="str">
        <f>IF(U7=0,"Mar √","Mar")</f>
        <v>Mar √</v>
      </c>
      <c r="V6" s="21" t="str">
        <f>IF(V7=0,"Apr √","Apr")</f>
        <v>Apr √</v>
      </c>
      <c r="W6" s="21" t="str">
        <f>IF(W7=0,"May √","May")</f>
        <v>May √</v>
      </c>
      <c r="X6" s="21" t="str">
        <f>IF(X7=0,"Jun √","Jun")</f>
        <v>Jun √</v>
      </c>
      <c r="Y6" s="21" t="str">
        <f>IF(Y7=0,"Jul √","Jul")</f>
        <v>Jul √</v>
      </c>
      <c r="Z6" s="21" t="str">
        <f>IF(Z7=0,"Aug √","Aug")</f>
        <v>Aug √</v>
      </c>
      <c r="AA6" s="21" t="str">
        <f>IF(AA7=0,"Sep √","Sep")</f>
        <v>Sep √</v>
      </c>
      <c r="AB6" s="21" t="str">
        <f>IF(AB7=0,"Oct √","Oct")</f>
        <v>Oct √</v>
      </c>
      <c r="AC6" s="21" t="str">
        <f>IF(AC7=0,"Nov √","Nov")</f>
        <v>Nov √</v>
      </c>
      <c r="AD6" s="21" t="str">
        <f>IF(AD7=0,"Dec √","Dec")</f>
        <v>Dec √</v>
      </c>
      <c r="AE6" s="21" t="str">
        <f>IF(AE7=0,"Total √","Total")</f>
        <v>Total √</v>
      </c>
      <c r="AG6" s="21" t="str">
        <f>IF(AG7=0,"Jan √","Jan")</f>
        <v>Jan √</v>
      </c>
      <c r="AH6" s="21" t="str">
        <f>IF(AH7=0,"Feb √","Feb")</f>
        <v>Feb √</v>
      </c>
      <c r="AI6" s="21" t="str">
        <f>IF(AI7=0,"Mar √","Mar")</f>
        <v>Mar √</v>
      </c>
      <c r="AJ6" s="21" t="str">
        <f>IF(AJ7=0,"Apr √","Apr")</f>
        <v>Apr √</v>
      </c>
      <c r="AK6" s="21" t="str">
        <f>IF(AK7=0,"May √","May")</f>
        <v>May √</v>
      </c>
      <c r="AL6" s="21" t="str">
        <f>IF(AL7=0,"Jun √","Jun")</f>
        <v>Jun √</v>
      </c>
      <c r="AM6" s="21" t="str">
        <f>IF(AM7=0,"Jul √","Jul")</f>
        <v>Jul √</v>
      </c>
      <c r="AN6" s="21" t="str">
        <f>IF(AN7=0,"Aug √","Aug")</f>
        <v>Aug √</v>
      </c>
      <c r="AO6" s="21" t="str">
        <f>IF(AO7=0,"Sep √","Sep")</f>
        <v>Sep √</v>
      </c>
      <c r="AP6" s="21" t="str">
        <f>IF(AP7=0,"Oct √","Oct")</f>
        <v>Oct √</v>
      </c>
      <c r="AQ6" s="21" t="str">
        <f>IF(AQ7=0,"Nov √","Nov")</f>
        <v>Nov √</v>
      </c>
      <c r="AR6" s="21" t="str">
        <f>IF(AR7=0,"Dec √","Dec")</f>
        <v>Dec √</v>
      </c>
      <c r="AS6" s="21" t="str">
        <f>IF(AS7=0,"Total √","Total")</f>
        <v>Total √</v>
      </c>
      <c r="AU6" s="21" t="str">
        <f>IF(AU7=0,"Jan √","Jan")</f>
        <v>Jan √</v>
      </c>
      <c r="AV6" s="21" t="str">
        <f>IF(AV7=0,"Feb √","Feb")</f>
        <v>Feb √</v>
      </c>
      <c r="AW6" s="21" t="str">
        <f>IF(AW7=0,"Mar √","Mar")</f>
        <v>Mar √</v>
      </c>
      <c r="AX6" s="21" t="str">
        <f>IF(AX7=0,"Apr √","Apr")</f>
        <v>Apr √</v>
      </c>
      <c r="AY6" s="21" t="str">
        <f>IF(AY7=0,"May √","May")</f>
        <v>May √</v>
      </c>
      <c r="AZ6" s="21" t="str">
        <f>IF(AZ7=0,"Jun √","Jun")</f>
        <v>Jun √</v>
      </c>
      <c r="BA6" s="21" t="str">
        <f>IF(BA7=0,"Jul √","Jul")</f>
        <v>Jul √</v>
      </c>
      <c r="BB6" s="21" t="str">
        <f>IF(BB7=0,"Aug √","Aug")</f>
        <v>Aug √</v>
      </c>
      <c r="BC6" s="21" t="str">
        <f>IF(BC7=0,"Sep √","Sep")</f>
        <v>Sep √</v>
      </c>
      <c r="BD6" s="21" t="str">
        <f>IF(BD7=0,"Oct √","Oct")</f>
        <v>Oct √</v>
      </c>
      <c r="BE6" s="21" t="str">
        <f>IF(BE7=0,"Nov √","Nov")</f>
        <v>Nov √</v>
      </c>
      <c r="BF6" s="21" t="str">
        <f>IF(BF7=0,"Dec √","Dec")</f>
        <v>Dec √</v>
      </c>
      <c r="BG6" s="21" t="str">
        <f>IF(BG7=0,"Total √","Total")</f>
        <v>Total √</v>
      </c>
    </row>
    <row r="7" spans="1:59" x14ac:dyDescent="0.25">
      <c r="C7" s="18" t="s">
        <v>14</v>
      </c>
      <c r="E7" s="22">
        <f>E20-(E41+E55)</f>
        <v>0</v>
      </c>
      <c r="F7" s="22">
        <f t="shared" ref="F7:P7" si="0">F20-(F41+F55)</f>
        <v>0</v>
      </c>
      <c r="G7" s="22">
        <f t="shared" si="0"/>
        <v>0</v>
      </c>
      <c r="H7" s="22">
        <f t="shared" si="0"/>
        <v>0</v>
      </c>
      <c r="I7" s="22">
        <f t="shared" si="0"/>
        <v>0</v>
      </c>
      <c r="J7" s="22">
        <f t="shared" si="0"/>
        <v>0</v>
      </c>
      <c r="K7" s="22">
        <f t="shared" si="0"/>
        <v>0</v>
      </c>
      <c r="L7" s="22"/>
      <c r="M7" s="22">
        <f t="shared" si="0"/>
        <v>0</v>
      </c>
      <c r="N7" s="22">
        <f t="shared" si="0"/>
        <v>0</v>
      </c>
      <c r="O7" s="22">
        <f t="shared" si="0"/>
        <v>0</v>
      </c>
      <c r="P7" s="22">
        <f t="shared" si="0"/>
        <v>0</v>
      </c>
      <c r="Q7" s="22"/>
      <c r="S7" s="22">
        <f>S20-(S41+S55)</f>
        <v>0</v>
      </c>
      <c r="T7" s="22">
        <f t="shared" ref="T7:AE7" si="1">T20-(T41+T55)</f>
        <v>0</v>
      </c>
      <c r="U7" s="22">
        <f t="shared" si="1"/>
        <v>0</v>
      </c>
      <c r="V7" s="22">
        <f t="shared" si="1"/>
        <v>0</v>
      </c>
      <c r="W7" s="22">
        <f t="shared" si="1"/>
        <v>0</v>
      </c>
      <c r="X7" s="22">
        <f t="shared" si="1"/>
        <v>0</v>
      </c>
      <c r="Y7" s="22">
        <f t="shared" si="1"/>
        <v>0</v>
      </c>
      <c r="Z7" s="22">
        <f t="shared" si="1"/>
        <v>0</v>
      </c>
      <c r="AA7" s="22">
        <f t="shared" si="1"/>
        <v>0</v>
      </c>
      <c r="AB7" s="22">
        <f t="shared" si="1"/>
        <v>0</v>
      </c>
      <c r="AC7" s="22">
        <f t="shared" si="1"/>
        <v>0</v>
      </c>
      <c r="AD7" s="22">
        <f t="shared" si="1"/>
        <v>0</v>
      </c>
      <c r="AE7" s="22">
        <f t="shared" si="1"/>
        <v>0</v>
      </c>
      <c r="AG7" s="22">
        <f>AG20-(AG41+AG55)</f>
        <v>0</v>
      </c>
      <c r="AH7" s="22">
        <f t="shared" ref="AH7:AS7" si="2">AH20-(AH41+AH55)</f>
        <v>0</v>
      </c>
      <c r="AI7" s="22">
        <f t="shared" si="2"/>
        <v>0</v>
      </c>
      <c r="AJ7" s="22">
        <f t="shared" si="2"/>
        <v>0</v>
      </c>
      <c r="AK7" s="22">
        <f t="shared" si="2"/>
        <v>0</v>
      </c>
      <c r="AL7" s="22">
        <f t="shared" si="2"/>
        <v>0</v>
      </c>
      <c r="AM7" s="22">
        <f t="shared" si="2"/>
        <v>0</v>
      </c>
      <c r="AN7" s="22">
        <f t="shared" si="2"/>
        <v>0</v>
      </c>
      <c r="AO7" s="22">
        <f t="shared" si="2"/>
        <v>0</v>
      </c>
      <c r="AP7" s="22">
        <f t="shared" si="2"/>
        <v>0</v>
      </c>
      <c r="AQ7" s="22">
        <f t="shared" si="2"/>
        <v>0</v>
      </c>
      <c r="AR7" s="22">
        <f t="shared" si="2"/>
        <v>0</v>
      </c>
      <c r="AS7" s="22">
        <f t="shared" si="2"/>
        <v>0</v>
      </c>
      <c r="AU7" s="22">
        <f>AU20-(AU41+AU55)</f>
        <v>0</v>
      </c>
      <c r="AV7" s="22">
        <f t="shared" ref="AV7:BG7" si="3">AV20-(AV41+AV55)</f>
        <v>0</v>
      </c>
      <c r="AW7" s="22">
        <f t="shared" si="3"/>
        <v>0</v>
      </c>
      <c r="AX7" s="22">
        <f t="shared" si="3"/>
        <v>0</v>
      </c>
      <c r="AY7" s="22">
        <f t="shared" si="3"/>
        <v>0</v>
      </c>
      <c r="AZ7" s="22">
        <f t="shared" si="3"/>
        <v>0</v>
      </c>
      <c r="BA7" s="22">
        <f t="shared" si="3"/>
        <v>0</v>
      </c>
      <c r="BB7" s="22">
        <f t="shared" si="3"/>
        <v>0</v>
      </c>
      <c r="BC7" s="22">
        <f t="shared" si="3"/>
        <v>0</v>
      </c>
      <c r="BD7" s="22">
        <f t="shared" si="3"/>
        <v>0</v>
      </c>
      <c r="BE7" s="22">
        <f t="shared" si="3"/>
        <v>0</v>
      </c>
      <c r="BF7" s="22">
        <f t="shared" si="3"/>
        <v>0</v>
      </c>
      <c r="BG7" s="22">
        <f t="shared" si="3"/>
        <v>0</v>
      </c>
    </row>
    <row r="8" spans="1:59" x14ac:dyDescent="0.25">
      <c r="D8" s="17"/>
    </row>
    <row r="9" spans="1:59" x14ac:dyDescent="0.25">
      <c r="C9" s="20" t="s">
        <v>3</v>
      </c>
      <c r="E9" s="6">
        <f>DATE(E$5,1,1)</f>
        <v>44562</v>
      </c>
      <c r="F9" s="6">
        <f>DATE(E$5,2,1)</f>
        <v>44593</v>
      </c>
      <c r="G9" s="6">
        <f>DATE(E$5,3,1)</f>
        <v>44621</v>
      </c>
      <c r="H9" s="6">
        <f>DATE(E$5,4,1)</f>
        <v>44652</v>
      </c>
      <c r="I9" s="6">
        <f>DATE(E$5,5,1)</f>
        <v>44682</v>
      </c>
      <c r="J9" s="6">
        <f>DATE(E$5,6,1)</f>
        <v>44713</v>
      </c>
      <c r="K9" s="6">
        <f>DATE(E$5,7,1)</f>
        <v>44743</v>
      </c>
      <c r="L9" s="6">
        <f>DATE(E$5,8,1)</f>
        <v>44774</v>
      </c>
      <c r="M9" s="6">
        <f>DATE(E$5,9,1)</f>
        <v>44805</v>
      </c>
      <c r="N9" s="6">
        <f>DATE(E$5,10,1)</f>
        <v>44835</v>
      </c>
      <c r="O9" s="6">
        <f>DATE(E$5,11,1)</f>
        <v>44866</v>
      </c>
      <c r="P9" s="6">
        <f>DATE(E$5,12,1)</f>
        <v>44896</v>
      </c>
      <c r="Q9" s="6">
        <f>E8</f>
        <v>0</v>
      </c>
      <c r="S9" s="6">
        <f>DATE(S$5,1,1)</f>
        <v>44927</v>
      </c>
      <c r="T9" s="6">
        <f>DATE(S$5,2,1)</f>
        <v>44958</v>
      </c>
      <c r="U9" s="6">
        <f>DATE(S$5,3,1)</f>
        <v>44986</v>
      </c>
      <c r="V9" s="6">
        <f>DATE(S$5,4,1)</f>
        <v>45017</v>
      </c>
      <c r="W9" s="6">
        <f>DATE(S$5,5,1)</f>
        <v>45047</v>
      </c>
      <c r="X9" s="6">
        <f>DATE(S$5,6,1)</f>
        <v>45078</v>
      </c>
      <c r="Y9" s="6">
        <f>DATE(S$5,7,1)</f>
        <v>45108</v>
      </c>
      <c r="Z9" s="6">
        <f>DATE(S$5,8,1)</f>
        <v>45139</v>
      </c>
      <c r="AA9" s="6">
        <f>DATE(S$5,9,1)</f>
        <v>45170</v>
      </c>
      <c r="AB9" s="6">
        <f>DATE(S$5,10,1)</f>
        <v>45200</v>
      </c>
      <c r="AC9" s="6">
        <f>DATE(S$5,11,1)</f>
        <v>45231</v>
      </c>
      <c r="AD9" s="6">
        <f>DATE(S$5,12,1)</f>
        <v>45261</v>
      </c>
      <c r="AE9" s="6">
        <f>S8</f>
        <v>0</v>
      </c>
      <c r="AG9" s="6">
        <f>DATE(AG$5,1,1)</f>
        <v>45292</v>
      </c>
      <c r="AH9" s="6">
        <f>DATE(AG$5,2,1)</f>
        <v>45323</v>
      </c>
      <c r="AI9" s="6">
        <f>DATE(AG$5,3,1)</f>
        <v>45352</v>
      </c>
      <c r="AJ9" s="6">
        <f>DATE(AG$5,4,1)</f>
        <v>45383</v>
      </c>
      <c r="AK9" s="6">
        <f>DATE(AG$5,5,1)</f>
        <v>45413</v>
      </c>
      <c r="AL9" s="6">
        <f>DATE(AG$5,6,1)</f>
        <v>45444</v>
      </c>
      <c r="AM9" s="6">
        <f>DATE(AG$5,7,1)</f>
        <v>45474</v>
      </c>
      <c r="AN9" s="6">
        <f>DATE(AG$5,8,1)</f>
        <v>45505</v>
      </c>
      <c r="AO9" s="6">
        <f>DATE(AG$5,9,1)</f>
        <v>45536</v>
      </c>
      <c r="AP9" s="6">
        <f>DATE(AG$5,10,1)</f>
        <v>45566</v>
      </c>
      <c r="AQ9" s="6">
        <f>DATE(AG$5,11,1)</f>
        <v>45597</v>
      </c>
      <c r="AR9" s="6">
        <f>DATE(AG$5,12,1)</f>
        <v>45627</v>
      </c>
      <c r="AS9" s="6">
        <f>AG8</f>
        <v>0</v>
      </c>
      <c r="AU9" s="6">
        <f>DATE(AU$5,1,1)</f>
        <v>45658</v>
      </c>
      <c r="AV9" s="6">
        <f>DATE(AU$5,2,1)</f>
        <v>45689</v>
      </c>
      <c r="AW9" s="6">
        <f>DATE(AU$5,3,1)</f>
        <v>45717</v>
      </c>
      <c r="AX9" s="6">
        <f>DATE(AU$5,4,1)</f>
        <v>45748</v>
      </c>
      <c r="AY9" s="6">
        <f>DATE(AU$5,5,1)</f>
        <v>45778</v>
      </c>
      <c r="AZ9" s="6">
        <f>DATE(AU$5,6,1)</f>
        <v>45809</v>
      </c>
      <c r="BA9" s="6">
        <f>DATE(AU$5,7,1)</f>
        <v>45839</v>
      </c>
      <c r="BB9" s="6">
        <f>DATE(AU$5,8,1)</f>
        <v>45870</v>
      </c>
      <c r="BC9" s="6">
        <f>DATE(AU$5,9,1)</f>
        <v>45901</v>
      </c>
      <c r="BD9" s="6">
        <f>DATE(AU$5,10,1)</f>
        <v>45931</v>
      </c>
      <c r="BE9" s="6">
        <f>DATE(AU$5,11,1)</f>
        <v>45962</v>
      </c>
      <c r="BF9" s="6">
        <f>DATE(AU$5,12,1)</f>
        <v>45992</v>
      </c>
      <c r="BG9" s="6">
        <f>AU8</f>
        <v>0</v>
      </c>
    </row>
    <row r="10" spans="1:59" ht="15.75" x14ac:dyDescent="0.25">
      <c r="C10" s="34" t="s">
        <v>6</v>
      </c>
      <c r="E10" s="23">
        <v>3500</v>
      </c>
      <c r="F10" s="23">
        <v>3500</v>
      </c>
      <c r="G10" s="23">
        <v>3500</v>
      </c>
      <c r="H10" s="23">
        <v>4500</v>
      </c>
      <c r="I10" s="23">
        <v>4500</v>
      </c>
      <c r="J10" s="23">
        <v>4500</v>
      </c>
      <c r="K10" s="23">
        <v>4500</v>
      </c>
      <c r="L10" s="23">
        <v>4500</v>
      </c>
      <c r="M10" s="23">
        <v>4500</v>
      </c>
      <c r="N10" s="23">
        <v>4500</v>
      </c>
      <c r="O10" s="23">
        <v>4500</v>
      </c>
      <c r="P10" s="23">
        <v>4500</v>
      </c>
      <c r="Q10" s="26">
        <f>SUM(E10:P10)</f>
        <v>51000</v>
      </c>
      <c r="S10" s="23"/>
      <c r="T10" s="23"/>
      <c r="U10" s="23"/>
      <c r="V10" s="23"/>
      <c r="W10" s="23"/>
      <c r="X10" s="23"/>
      <c r="Y10" s="23"/>
      <c r="Z10" s="23"/>
      <c r="AA10" s="23"/>
      <c r="AB10" s="23"/>
      <c r="AC10" s="23"/>
      <c r="AD10" s="23"/>
      <c r="AE10" s="26">
        <f>SUM(S10:AD10)</f>
        <v>0</v>
      </c>
      <c r="AG10" s="23"/>
      <c r="AH10" s="23"/>
      <c r="AI10" s="23"/>
      <c r="AJ10" s="23"/>
      <c r="AK10" s="23"/>
      <c r="AL10" s="23"/>
      <c r="AM10" s="23"/>
      <c r="AN10" s="23"/>
      <c r="AO10" s="23"/>
      <c r="AP10" s="23"/>
      <c r="AQ10" s="23"/>
      <c r="AR10" s="23"/>
      <c r="AS10" s="26">
        <f>SUM(AG10:AR10)</f>
        <v>0</v>
      </c>
      <c r="AU10" s="23"/>
      <c r="AV10" s="23"/>
      <c r="AW10" s="23"/>
      <c r="AX10" s="23"/>
      <c r="AY10" s="23"/>
      <c r="AZ10" s="23"/>
      <c r="BA10" s="23"/>
      <c r="BB10" s="23"/>
      <c r="BC10" s="23"/>
      <c r="BD10" s="23"/>
      <c r="BE10" s="23"/>
      <c r="BF10" s="23"/>
      <c r="BG10" s="26">
        <f>SUM(AU10:BF10)</f>
        <v>0</v>
      </c>
    </row>
    <row r="11" spans="1:59" ht="15.75" x14ac:dyDescent="0.25">
      <c r="C11" s="34" t="s">
        <v>7</v>
      </c>
      <c r="E11" s="23">
        <v>1000</v>
      </c>
      <c r="F11" s="23">
        <v>1000</v>
      </c>
      <c r="G11" s="23">
        <v>1000</v>
      </c>
      <c r="H11" s="23">
        <v>1000</v>
      </c>
      <c r="I11" s="23">
        <v>1000</v>
      </c>
      <c r="J11" s="23">
        <v>1000</v>
      </c>
      <c r="K11" s="23">
        <v>1000</v>
      </c>
      <c r="L11" s="23">
        <v>1000</v>
      </c>
      <c r="M11" s="23">
        <v>1000</v>
      </c>
      <c r="N11" s="23">
        <v>1000</v>
      </c>
      <c r="O11" s="23">
        <v>1000</v>
      </c>
      <c r="P11" s="23">
        <v>1000</v>
      </c>
      <c r="Q11" s="26">
        <f>SUM(E11:P11)</f>
        <v>12000</v>
      </c>
      <c r="S11" s="23"/>
      <c r="T11" s="23"/>
      <c r="U11" s="23"/>
      <c r="V11" s="23"/>
      <c r="W11" s="23"/>
      <c r="X11" s="23"/>
      <c r="Y11" s="23"/>
      <c r="Z11" s="23"/>
      <c r="AA11" s="23"/>
      <c r="AB11" s="23"/>
      <c r="AC11" s="23"/>
      <c r="AD11" s="23"/>
      <c r="AE11" s="26">
        <f t="shared" ref="AE11:AE20" si="4">SUM(S11:AD11)</f>
        <v>0</v>
      </c>
      <c r="AG11" s="23"/>
      <c r="AH11" s="23"/>
      <c r="AI11" s="23"/>
      <c r="AJ11" s="23"/>
      <c r="AK11" s="23"/>
      <c r="AL11" s="23"/>
      <c r="AM11" s="23"/>
      <c r="AN11" s="23"/>
      <c r="AO11" s="23"/>
      <c r="AP11" s="23"/>
      <c r="AQ11" s="23"/>
      <c r="AR11" s="23"/>
      <c r="AS11" s="26">
        <f t="shared" ref="AS11:AS20" si="5">SUM(AG11:AR11)</f>
        <v>0</v>
      </c>
      <c r="AU11" s="23"/>
      <c r="AV11" s="23"/>
      <c r="AW11" s="23"/>
      <c r="AX11" s="23"/>
      <c r="AY11" s="23"/>
      <c r="AZ11" s="23"/>
      <c r="BA11" s="23"/>
      <c r="BB11" s="23"/>
      <c r="BC11" s="23"/>
      <c r="BD11" s="23"/>
      <c r="BE11" s="23"/>
      <c r="BF11" s="23"/>
      <c r="BG11" s="26">
        <f t="shared" ref="BG11:BG20" si="6">SUM(AU11:BF11)</f>
        <v>0</v>
      </c>
    </row>
    <row r="12" spans="1:59" ht="15.75" x14ac:dyDescent="0.25">
      <c r="C12" s="34" t="s">
        <v>8</v>
      </c>
      <c r="E12" s="23">
        <v>150</v>
      </c>
      <c r="F12" s="23">
        <v>50</v>
      </c>
      <c r="G12" s="23">
        <v>100</v>
      </c>
      <c r="H12" s="23">
        <v>150</v>
      </c>
      <c r="I12" s="23">
        <v>50</v>
      </c>
      <c r="J12" s="23">
        <v>100</v>
      </c>
      <c r="K12" s="23">
        <v>150</v>
      </c>
      <c r="L12" s="23">
        <v>50</v>
      </c>
      <c r="M12" s="23">
        <v>100</v>
      </c>
      <c r="N12" s="23">
        <v>150</v>
      </c>
      <c r="O12" s="23">
        <v>50</v>
      </c>
      <c r="P12" s="23">
        <v>100</v>
      </c>
      <c r="Q12" s="26">
        <f>SUM(E12:P12)</f>
        <v>1200</v>
      </c>
      <c r="S12" s="23"/>
      <c r="T12" s="23"/>
      <c r="U12" s="23"/>
      <c r="V12" s="23"/>
      <c r="W12" s="23"/>
      <c r="X12" s="23"/>
      <c r="Y12" s="23"/>
      <c r="Z12" s="23"/>
      <c r="AA12" s="23"/>
      <c r="AB12" s="23"/>
      <c r="AC12" s="23"/>
      <c r="AD12" s="23"/>
      <c r="AE12" s="26">
        <f t="shared" si="4"/>
        <v>0</v>
      </c>
      <c r="AG12" s="23"/>
      <c r="AH12" s="23"/>
      <c r="AI12" s="23"/>
      <c r="AJ12" s="23"/>
      <c r="AK12" s="23"/>
      <c r="AL12" s="23"/>
      <c r="AM12" s="23"/>
      <c r="AN12" s="23"/>
      <c r="AO12" s="23"/>
      <c r="AP12" s="23"/>
      <c r="AQ12" s="23"/>
      <c r="AR12" s="23"/>
      <c r="AS12" s="26">
        <f t="shared" si="5"/>
        <v>0</v>
      </c>
      <c r="AU12" s="23"/>
      <c r="AV12" s="23"/>
      <c r="AW12" s="23"/>
      <c r="AX12" s="23"/>
      <c r="AY12" s="23"/>
      <c r="AZ12" s="23"/>
      <c r="BA12" s="23"/>
      <c r="BB12" s="23"/>
      <c r="BC12" s="23"/>
      <c r="BD12" s="23"/>
      <c r="BE12" s="23"/>
      <c r="BF12" s="23"/>
      <c r="BG12" s="26">
        <f t="shared" si="6"/>
        <v>0</v>
      </c>
    </row>
    <row r="13" spans="1:59" ht="15.75" hidden="1" x14ac:dyDescent="0.25">
      <c r="C13" s="3" t="s">
        <v>4</v>
      </c>
      <c r="E13" s="9"/>
      <c r="F13" s="9"/>
      <c r="G13" s="9"/>
      <c r="H13" s="9"/>
      <c r="I13" s="9"/>
      <c r="J13" s="9"/>
      <c r="K13" s="9"/>
      <c r="L13" s="9"/>
      <c r="M13" s="9"/>
      <c r="N13" s="9"/>
      <c r="O13" s="9"/>
      <c r="P13" s="9"/>
      <c r="Q13" s="10"/>
      <c r="S13" s="9"/>
      <c r="T13" s="9"/>
      <c r="U13" s="9"/>
      <c r="V13" s="9"/>
      <c r="W13" s="9"/>
      <c r="X13" s="9"/>
      <c r="Y13" s="9"/>
      <c r="Z13" s="9"/>
      <c r="AA13" s="9"/>
      <c r="AB13" s="9"/>
      <c r="AC13" s="9"/>
      <c r="AD13" s="9"/>
      <c r="AE13" s="26">
        <f t="shared" si="4"/>
        <v>0</v>
      </c>
      <c r="AG13" s="9"/>
      <c r="AH13" s="9"/>
      <c r="AI13" s="9"/>
      <c r="AJ13" s="9"/>
      <c r="AK13" s="9"/>
      <c r="AL13" s="9"/>
      <c r="AM13" s="9"/>
      <c r="AN13" s="9"/>
      <c r="AO13" s="9"/>
      <c r="AP13" s="9"/>
      <c r="AQ13" s="9"/>
      <c r="AR13" s="9"/>
      <c r="AS13" s="26">
        <f t="shared" si="5"/>
        <v>0</v>
      </c>
      <c r="AU13" s="9"/>
      <c r="AV13" s="9"/>
      <c r="AW13" s="9"/>
      <c r="AX13" s="9"/>
      <c r="AY13" s="9"/>
      <c r="AZ13" s="9"/>
      <c r="BA13" s="9"/>
      <c r="BB13" s="9"/>
      <c r="BC13" s="9"/>
      <c r="BD13" s="9"/>
      <c r="BE13" s="9"/>
      <c r="BF13" s="9"/>
      <c r="BG13" s="26">
        <f t="shared" si="6"/>
        <v>0</v>
      </c>
    </row>
    <row r="14" spans="1:59" ht="15.75" hidden="1" x14ac:dyDescent="0.25">
      <c r="C14" s="3" t="s">
        <v>4</v>
      </c>
      <c r="E14" s="9"/>
      <c r="F14" s="9"/>
      <c r="G14" s="9"/>
      <c r="H14" s="9"/>
      <c r="I14" s="9"/>
      <c r="J14" s="9"/>
      <c r="K14" s="9"/>
      <c r="L14" s="9"/>
      <c r="M14" s="9"/>
      <c r="N14" s="9"/>
      <c r="O14" s="9"/>
      <c r="P14" s="9"/>
      <c r="Q14" s="10"/>
      <c r="S14" s="9"/>
      <c r="T14" s="9"/>
      <c r="U14" s="9"/>
      <c r="V14" s="9"/>
      <c r="W14" s="9"/>
      <c r="X14" s="9"/>
      <c r="Y14" s="9"/>
      <c r="Z14" s="9"/>
      <c r="AA14" s="9"/>
      <c r="AB14" s="9"/>
      <c r="AC14" s="9"/>
      <c r="AD14" s="9"/>
      <c r="AE14" s="26">
        <f t="shared" si="4"/>
        <v>0</v>
      </c>
      <c r="AG14" s="9"/>
      <c r="AH14" s="9"/>
      <c r="AI14" s="9"/>
      <c r="AJ14" s="9"/>
      <c r="AK14" s="9"/>
      <c r="AL14" s="9"/>
      <c r="AM14" s="9"/>
      <c r="AN14" s="9"/>
      <c r="AO14" s="9"/>
      <c r="AP14" s="9"/>
      <c r="AQ14" s="9"/>
      <c r="AR14" s="9"/>
      <c r="AS14" s="26">
        <f t="shared" si="5"/>
        <v>0</v>
      </c>
      <c r="AU14" s="9"/>
      <c r="AV14" s="9"/>
      <c r="AW14" s="9"/>
      <c r="AX14" s="9"/>
      <c r="AY14" s="9"/>
      <c r="AZ14" s="9"/>
      <c r="BA14" s="9"/>
      <c r="BB14" s="9"/>
      <c r="BC14" s="9"/>
      <c r="BD14" s="9"/>
      <c r="BE14" s="9"/>
      <c r="BF14" s="9"/>
      <c r="BG14" s="26">
        <f t="shared" si="6"/>
        <v>0</v>
      </c>
    </row>
    <row r="15" spans="1:59" ht="15.75" hidden="1" x14ac:dyDescent="0.25">
      <c r="C15" s="3" t="s">
        <v>4</v>
      </c>
      <c r="E15" s="9"/>
      <c r="F15" s="9"/>
      <c r="G15" s="9"/>
      <c r="H15" s="9"/>
      <c r="I15" s="9"/>
      <c r="J15" s="9"/>
      <c r="K15" s="9"/>
      <c r="L15" s="9"/>
      <c r="M15" s="9"/>
      <c r="N15" s="9"/>
      <c r="O15" s="9"/>
      <c r="P15" s="9"/>
      <c r="Q15" s="10"/>
      <c r="S15" s="9"/>
      <c r="T15" s="9"/>
      <c r="U15" s="9"/>
      <c r="V15" s="9"/>
      <c r="W15" s="9"/>
      <c r="X15" s="9"/>
      <c r="Y15" s="9"/>
      <c r="Z15" s="9"/>
      <c r="AA15" s="9"/>
      <c r="AB15" s="9"/>
      <c r="AC15" s="9"/>
      <c r="AD15" s="9"/>
      <c r="AE15" s="26">
        <f t="shared" si="4"/>
        <v>0</v>
      </c>
      <c r="AG15" s="9"/>
      <c r="AH15" s="9"/>
      <c r="AI15" s="9"/>
      <c r="AJ15" s="9"/>
      <c r="AK15" s="9"/>
      <c r="AL15" s="9"/>
      <c r="AM15" s="9"/>
      <c r="AN15" s="9"/>
      <c r="AO15" s="9"/>
      <c r="AP15" s="9"/>
      <c r="AQ15" s="9"/>
      <c r="AR15" s="9"/>
      <c r="AS15" s="26">
        <f t="shared" si="5"/>
        <v>0</v>
      </c>
      <c r="AU15" s="9"/>
      <c r="AV15" s="9"/>
      <c r="AW15" s="9"/>
      <c r="AX15" s="9"/>
      <c r="AY15" s="9"/>
      <c r="AZ15" s="9"/>
      <c r="BA15" s="9"/>
      <c r="BB15" s="9"/>
      <c r="BC15" s="9"/>
      <c r="BD15" s="9"/>
      <c r="BE15" s="9"/>
      <c r="BF15" s="9"/>
      <c r="BG15" s="26">
        <f t="shared" si="6"/>
        <v>0</v>
      </c>
    </row>
    <row r="16" spans="1:59" ht="15.75" hidden="1" x14ac:dyDescent="0.25">
      <c r="C16" s="3" t="s">
        <v>4</v>
      </c>
      <c r="E16" s="9"/>
      <c r="F16" s="9"/>
      <c r="G16" s="9"/>
      <c r="H16" s="9"/>
      <c r="I16" s="9"/>
      <c r="J16" s="9"/>
      <c r="K16" s="9"/>
      <c r="L16" s="9"/>
      <c r="M16" s="9"/>
      <c r="N16" s="9"/>
      <c r="O16" s="9"/>
      <c r="P16" s="9"/>
      <c r="Q16" s="10"/>
      <c r="S16" s="9"/>
      <c r="T16" s="9"/>
      <c r="U16" s="9"/>
      <c r="V16" s="9"/>
      <c r="W16" s="9"/>
      <c r="X16" s="9"/>
      <c r="Y16" s="9"/>
      <c r="Z16" s="9"/>
      <c r="AA16" s="9"/>
      <c r="AB16" s="9"/>
      <c r="AC16" s="9"/>
      <c r="AD16" s="9"/>
      <c r="AE16" s="26">
        <f t="shared" si="4"/>
        <v>0</v>
      </c>
      <c r="AG16" s="9"/>
      <c r="AH16" s="9"/>
      <c r="AI16" s="9"/>
      <c r="AJ16" s="9"/>
      <c r="AK16" s="9"/>
      <c r="AL16" s="9"/>
      <c r="AM16" s="9"/>
      <c r="AN16" s="9"/>
      <c r="AO16" s="9"/>
      <c r="AP16" s="9"/>
      <c r="AQ16" s="9"/>
      <c r="AR16" s="9"/>
      <c r="AS16" s="26">
        <f t="shared" si="5"/>
        <v>0</v>
      </c>
      <c r="AU16" s="9"/>
      <c r="AV16" s="9"/>
      <c r="AW16" s="9"/>
      <c r="AX16" s="9"/>
      <c r="AY16" s="9"/>
      <c r="AZ16" s="9"/>
      <c r="BA16" s="9"/>
      <c r="BB16" s="9"/>
      <c r="BC16" s="9"/>
      <c r="BD16" s="9"/>
      <c r="BE16" s="9"/>
      <c r="BF16" s="9"/>
      <c r="BG16" s="26">
        <f t="shared" si="6"/>
        <v>0</v>
      </c>
    </row>
    <row r="17" spans="3:59" ht="15.75" hidden="1" x14ac:dyDescent="0.25">
      <c r="C17" s="3" t="s">
        <v>4</v>
      </c>
      <c r="E17" s="9"/>
      <c r="F17" s="9"/>
      <c r="G17" s="9"/>
      <c r="H17" s="9"/>
      <c r="I17" s="9"/>
      <c r="J17" s="9"/>
      <c r="K17" s="9"/>
      <c r="L17" s="9"/>
      <c r="M17" s="9"/>
      <c r="N17" s="9"/>
      <c r="O17" s="9"/>
      <c r="P17" s="9"/>
      <c r="Q17" s="10"/>
      <c r="S17" s="9"/>
      <c r="T17" s="9"/>
      <c r="U17" s="9"/>
      <c r="V17" s="9"/>
      <c r="W17" s="9"/>
      <c r="X17" s="9"/>
      <c r="Y17" s="9"/>
      <c r="Z17" s="9"/>
      <c r="AA17" s="9"/>
      <c r="AB17" s="9"/>
      <c r="AC17" s="9"/>
      <c r="AD17" s="9"/>
      <c r="AE17" s="26">
        <f t="shared" si="4"/>
        <v>0</v>
      </c>
      <c r="AG17" s="9"/>
      <c r="AH17" s="9"/>
      <c r="AI17" s="9"/>
      <c r="AJ17" s="9"/>
      <c r="AK17" s="9"/>
      <c r="AL17" s="9"/>
      <c r="AM17" s="9"/>
      <c r="AN17" s="9"/>
      <c r="AO17" s="9"/>
      <c r="AP17" s="9"/>
      <c r="AQ17" s="9"/>
      <c r="AR17" s="9"/>
      <c r="AS17" s="26">
        <f t="shared" si="5"/>
        <v>0</v>
      </c>
      <c r="AU17" s="9"/>
      <c r="AV17" s="9"/>
      <c r="AW17" s="9"/>
      <c r="AX17" s="9"/>
      <c r="AY17" s="9"/>
      <c r="AZ17" s="9"/>
      <c r="BA17" s="9"/>
      <c r="BB17" s="9"/>
      <c r="BC17" s="9"/>
      <c r="BD17" s="9"/>
      <c r="BE17" s="9"/>
      <c r="BF17" s="9"/>
      <c r="BG17" s="26">
        <f t="shared" si="6"/>
        <v>0</v>
      </c>
    </row>
    <row r="18" spans="3:59" ht="15.75" hidden="1" x14ac:dyDescent="0.25">
      <c r="C18" s="3" t="s">
        <v>4</v>
      </c>
      <c r="E18" s="9"/>
      <c r="F18" s="9"/>
      <c r="G18" s="9"/>
      <c r="H18" s="9"/>
      <c r="I18" s="9"/>
      <c r="J18" s="9"/>
      <c r="K18" s="9"/>
      <c r="L18" s="9"/>
      <c r="M18" s="9"/>
      <c r="N18" s="9"/>
      <c r="O18" s="9"/>
      <c r="P18" s="9"/>
      <c r="Q18" s="10"/>
      <c r="S18" s="9"/>
      <c r="T18" s="9"/>
      <c r="U18" s="9"/>
      <c r="V18" s="9"/>
      <c r="W18" s="9"/>
      <c r="X18" s="9"/>
      <c r="Y18" s="9"/>
      <c r="Z18" s="9"/>
      <c r="AA18" s="9"/>
      <c r="AB18" s="9"/>
      <c r="AC18" s="9"/>
      <c r="AD18" s="9"/>
      <c r="AE18" s="26">
        <f t="shared" si="4"/>
        <v>0</v>
      </c>
      <c r="AG18" s="9"/>
      <c r="AH18" s="9"/>
      <c r="AI18" s="9"/>
      <c r="AJ18" s="9"/>
      <c r="AK18" s="9"/>
      <c r="AL18" s="9"/>
      <c r="AM18" s="9"/>
      <c r="AN18" s="9"/>
      <c r="AO18" s="9"/>
      <c r="AP18" s="9"/>
      <c r="AQ18" s="9"/>
      <c r="AR18" s="9"/>
      <c r="AS18" s="26">
        <f t="shared" si="5"/>
        <v>0</v>
      </c>
      <c r="AU18" s="9"/>
      <c r="AV18" s="9"/>
      <c r="AW18" s="9"/>
      <c r="AX18" s="9"/>
      <c r="AY18" s="9"/>
      <c r="AZ18" s="9"/>
      <c r="BA18" s="9"/>
      <c r="BB18" s="9"/>
      <c r="BC18" s="9"/>
      <c r="BD18" s="9"/>
      <c r="BE18" s="9"/>
      <c r="BF18" s="9"/>
      <c r="BG18" s="26">
        <f t="shared" si="6"/>
        <v>0</v>
      </c>
    </row>
    <row r="19" spans="3:59" ht="15.75" hidden="1" x14ac:dyDescent="0.25">
      <c r="C19" s="3" t="s">
        <v>4</v>
      </c>
      <c r="E19" s="9"/>
      <c r="F19" s="9"/>
      <c r="G19" s="9"/>
      <c r="H19" s="9"/>
      <c r="I19" s="9"/>
      <c r="J19" s="9"/>
      <c r="K19" s="9"/>
      <c r="L19" s="9"/>
      <c r="M19" s="9"/>
      <c r="N19" s="9"/>
      <c r="O19" s="9"/>
      <c r="P19" s="9"/>
      <c r="Q19" s="10"/>
      <c r="S19" s="9"/>
      <c r="T19" s="9"/>
      <c r="U19" s="9"/>
      <c r="V19" s="9"/>
      <c r="W19" s="9"/>
      <c r="X19" s="9"/>
      <c r="Y19" s="9"/>
      <c r="Z19" s="9"/>
      <c r="AA19" s="9"/>
      <c r="AB19" s="9"/>
      <c r="AC19" s="9"/>
      <c r="AD19" s="9"/>
      <c r="AE19" s="26">
        <f t="shared" si="4"/>
        <v>0</v>
      </c>
      <c r="AG19" s="9"/>
      <c r="AH19" s="9"/>
      <c r="AI19" s="9"/>
      <c r="AJ19" s="9"/>
      <c r="AK19" s="9"/>
      <c r="AL19" s="9"/>
      <c r="AM19" s="9"/>
      <c r="AN19" s="9"/>
      <c r="AO19" s="9"/>
      <c r="AP19" s="9"/>
      <c r="AQ19" s="9"/>
      <c r="AR19" s="9"/>
      <c r="AS19" s="26">
        <f t="shared" si="5"/>
        <v>0</v>
      </c>
      <c r="AU19" s="9"/>
      <c r="AV19" s="9"/>
      <c r="AW19" s="9"/>
      <c r="AX19" s="9"/>
      <c r="AY19" s="9"/>
      <c r="AZ19" s="9"/>
      <c r="BA19" s="9"/>
      <c r="BB19" s="9"/>
      <c r="BC19" s="9"/>
      <c r="BD19" s="9"/>
      <c r="BE19" s="9"/>
      <c r="BF19" s="9"/>
      <c r="BG19" s="26">
        <f t="shared" si="6"/>
        <v>0</v>
      </c>
    </row>
    <row r="20" spans="3:59" ht="15.75" x14ac:dyDescent="0.25">
      <c r="C20" s="4" t="s">
        <v>5</v>
      </c>
      <c r="E20" s="25">
        <f>SUM(E10:E12)</f>
        <v>4650</v>
      </c>
      <c r="F20" s="25">
        <f>SUM(F10:F12)</f>
        <v>4550</v>
      </c>
      <c r="G20" s="25">
        <f>SUM(G10:G12)</f>
        <v>4600</v>
      </c>
      <c r="H20" s="25">
        <f>SUM(H10:H12)</f>
        <v>5650</v>
      </c>
      <c r="I20" s="25">
        <f t="shared" ref="I20:P20" si="7">SUM(I10:I12)</f>
        <v>5550</v>
      </c>
      <c r="J20" s="25">
        <f t="shared" si="7"/>
        <v>5600</v>
      </c>
      <c r="K20" s="25">
        <f t="shared" si="7"/>
        <v>5650</v>
      </c>
      <c r="L20" s="25">
        <f t="shared" si="7"/>
        <v>5550</v>
      </c>
      <c r="M20" s="25">
        <f t="shared" si="7"/>
        <v>5600</v>
      </c>
      <c r="N20" s="25">
        <f t="shared" si="7"/>
        <v>5650</v>
      </c>
      <c r="O20" s="25">
        <f t="shared" si="7"/>
        <v>5550</v>
      </c>
      <c r="P20" s="25">
        <f t="shared" si="7"/>
        <v>5600</v>
      </c>
      <c r="Q20" s="24">
        <f>SUM(E20:P20)</f>
        <v>64200</v>
      </c>
      <c r="S20" s="25">
        <f>SUM(S10:S12)</f>
        <v>0</v>
      </c>
      <c r="T20" s="25">
        <f t="shared" ref="T20:AD20" si="8">SUM(T10:T12)</f>
        <v>0</v>
      </c>
      <c r="U20" s="25">
        <f t="shared" si="8"/>
        <v>0</v>
      </c>
      <c r="V20" s="25">
        <f t="shared" si="8"/>
        <v>0</v>
      </c>
      <c r="W20" s="25">
        <f t="shared" si="8"/>
        <v>0</v>
      </c>
      <c r="X20" s="25">
        <f t="shared" si="8"/>
        <v>0</v>
      </c>
      <c r="Y20" s="25">
        <f t="shared" si="8"/>
        <v>0</v>
      </c>
      <c r="Z20" s="25">
        <f t="shared" si="8"/>
        <v>0</v>
      </c>
      <c r="AA20" s="25">
        <f t="shared" si="8"/>
        <v>0</v>
      </c>
      <c r="AB20" s="25">
        <f t="shared" si="8"/>
        <v>0</v>
      </c>
      <c r="AC20" s="25">
        <f t="shared" si="8"/>
        <v>0</v>
      </c>
      <c r="AD20" s="25">
        <f t="shared" si="8"/>
        <v>0</v>
      </c>
      <c r="AE20" s="26">
        <f t="shared" si="4"/>
        <v>0</v>
      </c>
      <c r="AG20" s="25">
        <f>SUM(AG10:AG12)</f>
        <v>0</v>
      </c>
      <c r="AH20" s="25">
        <f t="shared" ref="AH20:AR20" si="9">SUM(AH10:AH12)</f>
        <v>0</v>
      </c>
      <c r="AI20" s="25">
        <f t="shared" si="9"/>
        <v>0</v>
      </c>
      <c r="AJ20" s="25">
        <f t="shared" si="9"/>
        <v>0</v>
      </c>
      <c r="AK20" s="25">
        <f t="shared" si="9"/>
        <v>0</v>
      </c>
      <c r="AL20" s="25">
        <f t="shared" si="9"/>
        <v>0</v>
      </c>
      <c r="AM20" s="25">
        <f t="shared" si="9"/>
        <v>0</v>
      </c>
      <c r="AN20" s="25">
        <f t="shared" si="9"/>
        <v>0</v>
      </c>
      <c r="AO20" s="25">
        <f t="shared" si="9"/>
        <v>0</v>
      </c>
      <c r="AP20" s="25">
        <f t="shared" si="9"/>
        <v>0</v>
      </c>
      <c r="AQ20" s="25">
        <f t="shared" si="9"/>
        <v>0</v>
      </c>
      <c r="AR20" s="25">
        <f t="shared" si="9"/>
        <v>0</v>
      </c>
      <c r="AS20" s="26">
        <f t="shared" si="5"/>
        <v>0</v>
      </c>
      <c r="AU20" s="25">
        <f>SUM(AU10:AU12)</f>
        <v>0</v>
      </c>
      <c r="AV20" s="25">
        <f t="shared" ref="AV20:BF20" si="10">SUM(AV10:AV12)</f>
        <v>0</v>
      </c>
      <c r="AW20" s="25">
        <f t="shared" si="10"/>
        <v>0</v>
      </c>
      <c r="AX20" s="25">
        <f t="shared" si="10"/>
        <v>0</v>
      </c>
      <c r="AY20" s="25">
        <f t="shared" si="10"/>
        <v>0</v>
      </c>
      <c r="AZ20" s="25">
        <f t="shared" si="10"/>
        <v>0</v>
      </c>
      <c r="BA20" s="25">
        <f t="shared" si="10"/>
        <v>0</v>
      </c>
      <c r="BB20" s="25">
        <f t="shared" si="10"/>
        <v>0</v>
      </c>
      <c r="BC20" s="25">
        <f t="shared" si="10"/>
        <v>0</v>
      </c>
      <c r="BD20" s="25">
        <f t="shared" si="10"/>
        <v>0</v>
      </c>
      <c r="BE20" s="25">
        <f t="shared" si="10"/>
        <v>0</v>
      </c>
      <c r="BF20" s="25">
        <f t="shared" si="10"/>
        <v>0</v>
      </c>
      <c r="BG20" s="26">
        <f t="shared" si="6"/>
        <v>0</v>
      </c>
    </row>
    <row r="22" spans="3:59" x14ac:dyDescent="0.25">
      <c r="C22" s="20" t="s">
        <v>9</v>
      </c>
      <c r="E22" s="6">
        <f>DATE(E$5,1,1)</f>
        <v>44562</v>
      </c>
      <c r="F22" s="6">
        <f>DATE(E$5,2,1)</f>
        <v>44593</v>
      </c>
      <c r="G22" s="6">
        <f>DATE(E$5,3,1)</f>
        <v>44621</v>
      </c>
      <c r="H22" s="6">
        <f>DATE(E$5,4,1)</f>
        <v>44652</v>
      </c>
      <c r="I22" s="6">
        <f>DATE(E$5,5,1)</f>
        <v>44682</v>
      </c>
      <c r="J22" s="6">
        <f>DATE(E$5,6,1)</f>
        <v>44713</v>
      </c>
      <c r="K22" s="6">
        <f>DATE(E$5,7,1)</f>
        <v>44743</v>
      </c>
      <c r="L22" s="6">
        <f>DATE(E$5,8,1)</f>
        <v>44774</v>
      </c>
      <c r="M22" s="6">
        <f>DATE(E$5,9,1)</f>
        <v>44805</v>
      </c>
      <c r="N22" s="6">
        <f>DATE(E$5,10,1)</f>
        <v>44835</v>
      </c>
      <c r="O22" s="6">
        <f>DATE(E$5,11,1)</f>
        <v>44866</v>
      </c>
      <c r="P22" s="6">
        <f>DATE(E$5,12,1)</f>
        <v>44896</v>
      </c>
      <c r="Q22" s="6">
        <f>E21</f>
        <v>0</v>
      </c>
      <c r="S22" s="6" t="s">
        <v>27</v>
      </c>
      <c r="T22" s="6">
        <f>DATE(S$5,2,1)</f>
        <v>44958</v>
      </c>
      <c r="U22" s="6">
        <f>DATE(S$5,3,1)</f>
        <v>44986</v>
      </c>
      <c r="V22" s="6">
        <f>DATE(S$5,4,1)</f>
        <v>45017</v>
      </c>
      <c r="W22" s="6">
        <f>DATE(S$5,5,1)</f>
        <v>45047</v>
      </c>
      <c r="X22" s="6">
        <f>DATE(S$5,6,1)</f>
        <v>45078</v>
      </c>
      <c r="Y22" s="6">
        <f>DATE(S$5,7,1)</f>
        <v>45108</v>
      </c>
      <c r="Z22" s="6" t="s">
        <v>28</v>
      </c>
      <c r="AA22" s="6">
        <f>DATE(S$5,9,1)</f>
        <v>45170</v>
      </c>
      <c r="AB22" s="6">
        <f>DATE(S$5,10,1)</f>
        <v>45200</v>
      </c>
      <c r="AC22" s="6">
        <f>DATE(S$5,11,1)</f>
        <v>45231</v>
      </c>
      <c r="AD22" s="6">
        <f>DATE(S$5,12,1)</f>
        <v>45261</v>
      </c>
      <c r="AE22" s="6">
        <f>S21</f>
        <v>0</v>
      </c>
      <c r="AG22" s="6" t="s">
        <v>27</v>
      </c>
      <c r="AH22" s="6">
        <f>DATE(AG$5,2,1)</f>
        <v>45323</v>
      </c>
      <c r="AI22" s="6">
        <f>DATE(AG$5,3,1)</f>
        <v>45352</v>
      </c>
      <c r="AJ22" s="6">
        <f>DATE(AG$5,4,1)</f>
        <v>45383</v>
      </c>
      <c r="AK22" s="6">
        <f>DATE(AG$5,5,1)</f>
        <v>45413</v>
      </c>
      <c r="AL22" s="6">
        <f>DATE(AG$5,6,1)</f>
        <v>45444</v>
      </c>
      <c r="AM22" s="6">
        <f>DATE(AG$5,7,1)</f>
        <v>45474</v>
      </c>
      <c r="AN22" s="6" t="s">
        <v>28</v>
      </c>
      <c r="AO22" s="6">
        <f>DATE(AG$5,9,1)</f>
        <v>45536</v>
      </c>
      <c r="AP22" s="6">
        <f>DATE(AG$5,10,1)</f>
        <v>45566</v>
      </c>
      <c r="AQ22" s="6">
        <f>DATE(AG$5,11,1)</f>
        <v>45597</v>
      </c>
      <c r="AR22" s="6">
        <f>DATE(AG$5,12,1)</f>
        <v>45627</v>
      </c>
      <c r="AS22" s="6">
        <f>AG21</f>
        <v>0</v>
      </c>
      <c r="AU22" s="6" t="s">
        <v>27</v>
      </c>
      <c r="AV22" s="6">
        <f>DATE(AU$5,2,1)</f>
        <v>45689</v>
      </c>
      <c r="AW22" s="6">
        <f>DATE(AU$5,3,1)</f>
        <v>45717</v>
      </c>
      <c r="AX22" s="6">
        <f>DATE(AU$5,4,1)</f>
        <v>45748</v>
      </c>
      <c r="AY22" s="6">
        <f>DATE(AU$5,5,1)</f>
        <v>45778</v>
      </c>
      <c r="AZ22" s="6">
        <f>DATE(AU$5,6,1)</f>
        <v>45809</v>
      </c>
      <c r="BA22" s="6">
        <f>DATE(AU$5,7,1)</f>
        <v>45839</v>
      </c>
      <c r="BB22" s="6" t="s">
        <v>28</v>
      </c>
      <c r="BC22" s="6">
        <f>DATE(AU$5,9,1)</f>
        <v>45901</v>
      </c>
      <c r="BD22" s="6">
        <f>DATE(AU$5,10,1)</f>
        <v>45931</v>
      </c>
      <c r="BE22" s="6">
        <f>DATE(AU$5,11,1)</f>
        <v>45962</v>
      </c>
      <c r="BF22" s="6">
        <f>DATE(AU$5,12,1)</f>
        <v>45992</v>
      </c>
      <c r="BG22" s="6">
        <f>AU21</f>
        <v>0</v>
      </c>
    </row>
    <row r="23" spans="3:59" hidden="1" x14ac:dyDescent="0.25">
      <c r="C23" s="20"/>
      <c r="E23" s="6"/>
      <c r="F23" s="6"/>
      <c r="G23" s="6"/>
      <c r="H23" s="6"/>
      <c r="I23" s="6"/>
      <c r="J23" s="6"/>
      <c r="K23" s="6"/>
      <c r="L23" s="6"/>
      <c r="M23" s="6"/>
      <c r="N23" s="6"/>
      <c r="O23" s="6"/>
      <c r="P23" s="6"/>
      <c r="Q23" s="6"/>
      <c r="S23" s="6"/>
      <c r="T23" s="6"/>
      <c r="U23" s="6"/>
      <c r="V23" s="6"/>
      <c r="W23" s="6"/>
      <c r="X23" s="6"/>
      <c r="Y23" s="6"/>
      <c r="Z23" s="6"/>
      <c r="AA23" s="6"/>
      <c r="AB23" s="6"/>
      <c r="AC23" s="6"/>
      <c r="AD23" s="6"/>
      <c r="AE23" s="6"/>
      <c r="AG23" s="6"/>
      <c r="AH23" s="6"/>
      <c r="AI23" s="6"/>
      <c r="AJ23" s="6"/>
      <c r="AK23" s="6"/>
      <c r="AL23" s="6"/>
      <c r="AM23" s="6"/>
      <c r="AN23" s="6"/>
      <c r="AO23" s="6"/>
      <c r="AP23" s="6"/>
      <c r="AQ23" s="6"/>
      <c r="AR23" s="6"/>
      <c r="AS23" s="6"/>
      <c r="AU23" s="6"/>
      <c r="AV23" s="6"/>
      <c r="AW23" s="6"/>
      <c r="AX23" s="6"/>
      <c r="AY23" s="6"/>
      <c r="AZ23" s="6"/>
      <c r="BA23" s="6"/>
      <c r="BB23" s="6"/>
      <c r="BC23" s="6"/>
      <c r="BD23" s="6"/>
      <c r="BE23" s="6"/>
      <c r="BF23" s="6"/>
      <c r="BG23" s="6"/>
    </row>
    <row r="24" spans="3:59" hidden="1" x14ac:dyDescent="0.25">
      <c r="C24" s="20"/>
      <c r="E24" s="6"/>
      <c r="F24" s="6"/>
      <c r="G24" s="6"/>
      <c r="H24" s="6"/>
      <c r="I24" s="6"/>
      <c r="J24" s="6"/>
      <c r="K24" s="6"/>
      <c r="L24" s="6"/>
      <c r="M24" s="6"/>
      <c r="N24" s="6"/>
      <c r="O24" s="6"/>
      <c r="P24" s="6"/>
      <c r="Q24" s="6"/>
      <c r="S24" s="6"/>
      <c r="T24" s="6"/>
      <c r="U24" s="6"/>
      <c r="V24" s="6"/>
      <c r="W24" s="6"/>
      <c r="X24" s="6"/>
      <c r="Y24" s="6"/>
      <c r="Z24" s="6"/>
      <c r="AA24" s="6"/>
      <c r="AB24" s="6"/>
      <c r="AC24" s="6"/>
      <c r="AD24" s="6"/>
      <c r="AE24" s="6"/>
      <c r="AG24" s="6"/>
      <c r="AH24" s="6"/>
      <c r="AI24" s="6"/>
      <c r="AJ24" s="6"/>
      <c r="AK24" s="6"/>
      <c r="AL24" s="6"/>
      <c r="AM24" s="6"/>
      <c r="AN24" s="6"/>
      <c r="AO24" s="6"/>
      <c r="AP24" s="6"/>
      <c r="AQ24" s="6"/>
      <c r="AR24" s="6"/>
      <c r="AS24" s="6"/>
      <c r="AU24" s="6"/>
      <c r="AV24" s="6"/>
      <c r="AW24" s="6"/>
      <c r="AX24" s="6"/>
      <c r="AY24" s="6"/>
      <c r="AZ24" s="6"/>
      <c r="BA24" s="6"/>
      <c r="BB24" s="6"/>
      <c r="BC24" s="6"/>
      <c r="BD24" s="6"/>
      <c r="BE24" s="6"/>
      <c r="BF24" s="6"/>
      <c r="BG24" s="6"/>
    </row>
    <row r="25" spans="3:59" hidden="1" x14ac:dyDescent="0.25">
      <c r="C25" s="20"/>
      <c r="E25" s="6"/>
      <c r="F25" s="6"/>
      <c r="G25" s="6"/>
      <c r="H25" s="6"/>
      <c r="I25" s="6"/>
      <c r="J25" s="6"/>
      <c r="K25" s="6"/>
      <c r="L25" s="6"/>
      <c r="M25" s="6"/>
      <c r="N25" s="6"/>
      <c r="O25" s="6"/>
      <c r="P25" s="6"/>
      <c r="Q25" s="6"/>
      <c r="S25" s="6"/>
      <c r="T25" s="6"/>
      <c r="U25" s="6"/>
      <c r="V25" s="6"/>
      <c r="W25" s="6"/>
      <c r="X25" s="6"/>
      <c r="Y25" s="6"/>
      <c r="Z25" s="6"/>
      <c r="AA25" s="6"/>
      <c r="AB25" s="6"/>
      <c r="AC25" s="6"/>
      <c r="AD25" s="6"/>
      <c r="AE25" s="6"/>
      <c r="AG25" s="6"/>
      <c r="AH25" s="6"/>
      <c r="AI25" s="6"/>
      <c r="AJ25" s="6"/>
      <c r="AK25" s="6"/>
      <c r="AL25" s="6"/>
      <c r="AM25" s="6"/>
      <c r="AN25" s="6"/>
      <c r="AO25" s="6"/>
      <c r="AP25" s="6"/>
      <c r="AQ25" s="6"/>
      <c r="AR25" s="6"/>
      <c r="AS25" s="6"/>
      <c r="AU25" s="6"/>
      <c r="AV25" s="6"/>
      <c r="AW25" s="6"/>
      <c r="AX25" s="6"/>
      <c r="AY25" s="6"/>
      <c r="AZ25" s="6"/>
      <c r="BA25" s="6"/>
      <c r="BB25" s="6"/>
      <c r="BC25" s="6"/>
      <c r="BD25" s="6"/>
      <c r="BE25" s="6"/>
      <c r="BF25" s="6"/>
      <c r="BG25" s="6"/>
    </row>
    <row r="26" spans="3:59" ht="15.75" x14ac:dyDescent="0.25">
      <c r="C26" s="34" t="s">
        <v>10</v>
      </c>
      <c r="D26" s="28"/>
      <c r="E26" s="37">
        <v>1200</v>
      </c>
      <c r="F26" s="37">
        <v>1200</v>
      </c>
      <c r="G26" s="37">
        <v>1200</v>
      </c>
      <c r="H26" s="37">
        <v>1200</v>
      </c>
      <c r="I26" s="37">
        <v>1200</v>
      </c>
      <c r="J26" s="37">
        <v>1200</v>
      </c>
      <c r="K26" s="37">
        <v>1200</v>
      </c>
      <c r="L26" s="37">
        <v>1200</v>
      </c>
      <c r="M26" s="37">
        <v>1200</v>
      </c>
      <c r="N26" s="37">
        <v>1200</v>
      </c>
      <c r="O26" s="37">
        <v>1200</v>
      </c>
      <c r="P26" s="37">
        <v>1200</v>
      </c>
      <c r="Q26" s="26">
        <f>SUM(E26:P26)</f>
        <v>14400</v>
      </c>
      <c r="S26" s="29"/>
      <c r="T26" s="29"/>
      <c r="U26" s="29"/>
      <c r="V26" s="29"/>
      <c r="W26" s="29"/>
      <c r="X26" s="29"/>
      <c r="Y26" s="29"/>
      <c r="Z26" s="29"/>
      <c r="AA26" s="29"/>
      <c r="AB26" s="29"/>
      <c r="AC26" s="29"/>
      <c r="AD26" s="29"/>
      <c r="AE26" s="26">
        <f>SUM(S26:AD26)</f>
        <v>0</v>
      </c>
      <c r="AG26" s="29"/>
      <c r="AH26" s="29"/>
      <c r="AI26" s="29"/>
      <c r="AJ26" s="29"/>
      <c r="AK26" s="29"/>
      <c r="AL26" s="29"/>
      <c r="AM26" s="29"/>
      <c r="AN26" s="29"/>
      <c r="AO26" s="29"/>
      <c r="AP26" s="29"/>
      <c r="AQ26" s="29"/>
      <c r="AR26" s="29"/>
      <c r="AS26" s="26">
        <f>SUM(AG26:AR26)</f>
        <v>0</v>
      </c>
      <c r="AU26" s="29"/>
      <c r="AV26" s="29"/>
      <c r="AW26" s="29"/>
      <c r="AX26" s="29"/>
      <c r="AY26" s="29"/>
      <c r="AZ26" s="29"/>
      <c r="BA26" s="29"/>
      <c r="BB26" s="29"/>
      <c r="BC26" s="29"/>
      <c r="BD26" s="29"/>
      <c r="BE26" s="29"/>
      <c r="BF26" s="29"/>
      <c r="BG26" s="26">
        <f>SUM(AU26:BF26)</f>
        <v>0</v>
      </c>
    </row>
    <row r="27" spans="3:59" ht="15.75" hidden="1" x14ac:dyDescent="0.25">
      <c r="C27" s="35"/>
      <c r="D27" s="28"/>
      <c r="E27" s="45"/>
      <c r="F27" s="45"/>
      <c r="G27" s="45"/>
      <c r="H27" s="45"/>
      <c r="I27" s="45"/>
      <c r="J27" s="45"/>
      <c r="K27" s="45"/>
      <c r="L27" s="45"/>
      <c r="M27" s="45"/>
      <c r="N27" s="45"/>
      <c r="O27" s="45"/>
      <c r="P27" s="45"/>
      <c r="Q27" s="26">
        <f t="shared" ref="Q27:Q41" si="11">SUM(E27:P27)</f>
        <v>0</v>
      </c>
      <c r="S27" s="30"/>
      <c r="T27" s="30"/>
      <c r="U27" s="30"/>
      <c r="V27" s="30"/>
      <c r="W27" s="30"/>
      <c r="X27" s="30"/>
      <c r="Y27" s="30"/>
      <c r="Z27" s="30"/>
      <c r="AA27" s="30"/>
      <c r="AB27" s="30"/>
      <c r="AC27" s="30"/>
      <c r="AD27" s="30"/>
      <c r="AE27" s="26">
        <f t="shared" ref="AE27:AE41" si="12">SUM(S27:AD27)</f>
        <v>0</v>
      </c>
      <c r="AG27" s="30"/>
      <c r="AH27" s="30"/>
      <c r="AI27" s="30"/>
      <c r="AJ27" s="30"/>
      <c r="AK27" s="30"/>
      <c r="AL27" s="30"/>
      <c r="AM27" s="30"/>
      <c r="AN27" s="30"/>
      <c r="AO27" s="30"/>
      <c r="AP27" s="30"/>
      <c r="AQ27" s="30"/>
      <c r="AR27" s="30"/>
      <c r="AS27" s="26">
        <f t="shared" ref="AS27:AS41" si="13">SUM(AG27:AR27)</f>
        <v>0</v>
      </c>
      <c r="AU27" s="30"/>
      <c r="AV27" s="30"/>
      <c r="AW27" s="30"/>
      <c r="AX27" s="30"/>
      <c r="AY27" s="30"/>
      <c r="AZ27" s="30"/>
      <c r="BA27" s="30"/>
      <c r="BB27" s="30"/>
      <c r="BC27" s="30"/>
      <c r="BD27" s="30"/>
      <c r="BE27" s="30"/>
      <c r="BF27" s="30"/>
      <c r="BG27" s="26">
        <f t="shared" ref="BG27:BG41" si="14">SUM(AU27:BF27)</f>
        <v>0</v>
      </c>
    </row>
    <row r="28" spans="3:59" ht="15.75" hidden="1" x14ac:dyDescent="0.25">
      <c r="C28" s="35"/>
      <c r="D28" s="28"/>
      <c r="E28" s="45"/>
      <c r="F28" s="45"/>
      <c r="G28" s="45"/>
      <c r="H28" s="45"/>
      <c r="I28" s="45"/>
      <c r="J28" s="45"/>
      <c r="K28" s="45"/>
      <c r="L28" s="45"/>
      <c r="M28" s="45"/>
      <c r="N28" s="45"/>
      <c r="O28" s="45"/>
      <c r="P28" s="45"/>
      <c r="Q28" s="26">
        <f t="shared" si="11"/>
        <v>0</v>
      </c>
      <c r="S28" s="30"/>
      <c r="T28" s="30"/>
      <c r="U28" s="30"/>
      <c r="V28" s="30"/>
      <c r="W28" s="30"/>
      <c r="X28" s="30"/>
      <c r="Y28" s="30"/>
      <c r="Z28" s="30"/>
      <c r="AA28" s="30"/>
      <c r="AB28" s="30"/>
      <c r="AC28" s="30"/>
      <c r="AD28" s="30"/>
      <c r="AE28" s="26">
        <f t="shared" si="12"/>
        <v>0</v>
      </c>
      <c r="AG28" s="30"/>
      <c r="AH28" s="30"/>
      <c r="AI28" s="30"/>
      <c r="AJ28" s="30"/>
      <c r="AK28" s="30"/>
      <c r="AL28" s="30"/>
      <c r="AM28" s="30"/>
      <c r="AN28" s="30"/>
      <c r="AO28" s="30"/>
      <c r="AP28" s="30"/>
      <c r="AQ28" s="30"/>
      <c r="AR28" s="30"/>
      <c r="AS28" s="26">
        <f t="shared" si="13"/>
        <v>0</v>
      </c>
      <c r="AU28" s="30"/>
      <c r="AV28" s="30"/>
      <c r="AW28" s="30"/>
      <c r="AX28" s="30"/>
      <c r="AY28" s="30"/>
      <c r="AZ28" s="30"/>
      <c r="BA28" s="30"/>
      <c r="BB28" s="30"/>
      <c r="BC28" s="30"/>
      <c r="BD28" s="30"/>
      <c r="BE28" s="30"/>
      <c r="BF28" s="30"/>
      <c r="BG28" s="26">
        <f t="shared" si="14"/>
        <v>0</v>
      </c>
    </row>
    <row r="29" spans="3:59" ht="15.75" hidden="1" x14ac:dyDescent="0.25">
      <c r="C29" s="35"/>
      <c r="D29" s="28"/>
      <c r="E29" s="45"/>
      <c r="F29" s="45"/>
      <c r="G29" s="45"/>
      <c r="H29" s="45"/>
      <c r="I29" s="45"/>
      <c r="J29" s="45"/>
      <c r="K29" s="45"/>
      <c r="L29" s="45"/>
      <c r="M29" s="45"/>
      <c r="N29" s="45"/>
      <c r="O29" s="45"/>
      <c r="P29" s="45"/>
      <c r="Q29" s="26">
        <f t="shared" si="11"/>
        <v>0</v>
      </c>
      <c r="S29" s="30"/>
      <c r="T29" s="30"/>
      <c r="U29" s="30"/>
      <c r="V29" s="30"/>
      <c r="W29" s="30"/>
      <c r="X29" s="30"/>
      <c r="Y29" s="30"/>
      <c r="Z29" s="30"/>
      <c r="AA29" s="30"/>
      <c r="AB29" s="30"/>
      <c r="AC29" s="30"/>
      <c r="AD29" s="30"/>
      <c r="AE29" s="26">
        <f t="shared" si="12"/>
        <v>0</v>
      </c>
      <c r="AG29" s="30"/>
      <c r="AH29" s="30"/>
      <c r="AI29" s="30"/>
      <c r="AJ29" s="30"/>
      <c r="AK29" s="30"/>
      <c r="AL29" s="30"/>
      <c r="AM29" s="30"/>
      <c r="AN29" s="30"/>
      <c r="AO29" s="30"/>
      <c r="AP29" s="30"/>
      <c r="AQ29" s="30"/>
      <c r="AR29" s="30"/>
      <c r="AS29" s="26">
        <f t="shared" si="13"/>
        <v>0</v>
      </c>
      <c r="AU29" s="30"/>
      <c r="AV29" s="30"/>
      <c r="AW29" s="30"/>
      <c r="AX29" s="30"/>
      <c r="AY29" s="30"/>
      <c r="AZ29" s="30"/>
      <c r="BA29" s="30"/>
      <c r="BB29" s="30"/>
      <c r="BC29" s="30"/>
      <c r="BD29" s="30"/>
      <c r="BE29" s="30"/>
      <c r="BF29" s="30"/>
      <c r="BG29" s="26">
        <f t="shared" si="14"/>
        <v>0</v>
      </c>
    </row>
    <row r="30" spans="3:59" ht="15.75" hidden="1" x14ac:dyDescent="0.25">
      <c r="C30" s="35"/>
      <c r="D30" s="28"/>
      <c r="E30" s="45"/>
      <c r="F30" s="45"/>
      <c r="G30" s="45"/>
      <c r="H30" s="45"/>
      <c r="I30" s="45"/>
      <c r="J30" s="45"/>
      <c r="K30" s="45"/>
      <c r="L30" s="45"/>
      <c r="M30" s="45"/>
      <c r="N30" s="45"/>
      <c r="O30" s="45"/>
      <c r="P30" s="45"/>
      <c r="Q30" s="26">
        <f t="shared" si="11"/>
        <v>0</v>
      </c>
      <c r="S30" s="30"/>
      <c r="T30" s="30"/>
      <c r="U30" s="30"/>
      <c r="V30" s="30"/>
      <c r="W30" s="30"/>
      <c r="X30" s="30"/>
      <c r="Y30" s="30"/>
      <c r="Z30" s="30"/>
      <c r="AA30" s="30"/>
      <c r="AB30" s="30"/>
      <c r="AC30" s="30"/>
      <c r="AD30" s="30"/>
      <c r="AE30" s="26">
        <f t="shared" si="12"/>
        <v>0</v>
      </c>
      <c r="AG30" s="30"/>
      <c r="AH30" s="30"/>
      <c r="AI30" s="30"/>
      <c r="AJ30" s="30"/>
      <c r="AK30" s="30"/>
      <c r="AL30" s="30"/>
      <c r="AM30" s="30"/>
      <c r="AN30" s="30"/>
      <c r="AO30" s="30"/>
      <c r="AP30" s="30"/>
      <c r="AQ30" s="30"/>
      <c r="AR30" s="30"/>
      <c r="AS30" s="26">
        <f t="shared" si="13"/>
        <v>0</v>
      </c>
      <c r="AU30" s="30"/>
      <c r="AV30" s="30"/>
      <c r="AW30" s="30"/>
      <c r="AX30" s="30"/>
      <c r="AY30" s="30"/>
      <c r="AZ30" s="30"/>
      <c r="BA30" s="30"/>
      <c r="BB30" s="30"/>
      <c r="BC30" s="30"/>
      <c r="BD30" s="30"/>
      <c r="BE30" s="30"/>
      <c r="BF30" s="30"/>
      <c r="BG30" s="26">
        <f t="shared" si="14"/>
        <v>0</v>
      </c>
    </row>
    <row r="31" spans="3:59" ht="15.75" hidden="1" x14ac:dyDescent="0.25">
      <c r="C31" s="35"/>
      <c r="D31" s="28"/>
      <c r="E31" s="45"/>
      <c r="F31" s="45"/>
      <c r="G31" s="45"/>
      <c r="H31" s="45"/>
      <c r="I31" s="45"/>
      <c r="J31" s="45"/>
      <c r="K31" s="45"/>
      <c r="L31" s="45"/>
      <c r="M31" s="45"/>
      <c r="N31" s="45"/>
      <c r="O31" s="45"/>
      <c r="P31" s="45"/>
      <c r="Q31" s="26">
        <f t="shared" si="11"/>
        <v>0</v>
      </c>
      <c r="S31" s="30"/>
      <c r="T31" s="30"/>
      <c r="U31" s="30"/>
      <c r="V31" s="30"/>
      <c r="W31" s="30"/>
      <c r="X31" s="30"/>
      <c r="Y31" s="30"/>
      <c r="Z31" s="30"/>
      <c r="AA31" s="30"/>
      <c r="AB31" s="30"/>
      <c r="AC31" s="30"/>
      <c r="AD31" s="30"/>
      <c r="AE31" s="26">
        <f t="shared" si="12"/>
        <v>0</v>
      </c>
      <c r="AG31" s="30"/>
      <c r="AH31" s="30"/>
      <c r="AI31" s="30"/>
      <c r="AJ31" s="30"/>
      <c r="AK31" s="30"/>
      <c r="AL31" s="30"/>
      <c r="AM31" s="30"/>
      <c r="AN31" s="30"/>
      <c r="AO31" s="30"/>
      <c r="AP31" s="30"/>
      <c r="AQ31" s="30"/>
      <c r="AR31" s="30"/>
      <c r="AS31" s="26">
        <f t="shared" si="13"/>
        <v>0</v>
      </c>
      <c r="AU31" s="30"/>
      <c r="AV31" s="30"/>
      <c r="AW31" s="30"/>
      <c r="AX31" s="30"/>
      <c r="AY31" s="30"/>
      <c r="AZ31" s="30"/>
      <c r="BA31" s="30"/>
      <c r="BB31" s="30"/>
      <c r="BC31" s="30"/>
      <c r="BD31" s="30"/>
      <c r="BE31" s="30"/>
      <c r="BF31" s="30"/>
      <c r="BG31" s="26">
        <f t="shared" si="14"/>
        <v>0</v>
      </c>
    </row>
    <row r="32" spans="3:59" ht="15.75" x14ac:dyDescent="0.25">
      <c r="C32" s="34" t="s">
        <v>15</v>
      </c>
      <c r="D32" s="28"/>
      <c r="E32" s="37">
        <v>300</v>
      </c>
      <c r="F32" s="37">
        <v>300</v>
      </c>
      <c r="G32" s="37">
        <v>300</v>
      </c>
      <c r="H32" s="37">
        <v>300</v>
      </c>
      <c r="I32" s="37">
        <v>300</v>
      </c>
      <c r="J32" s="37">
        <v>300</v>
      </c>
      <c r="K32" s="37">
        <v>300</v>
      </c>
      <c r="L32" s="37">
        <v>300</v>
      </c>
      <c r="M32" s="37">
        <v>300</v>
      </c>
      <c r="N32" s="37">
        <v>300</v>
      </c>
      <c r="O32" s="37">
        <v>300</v>
      </c>
      <c r="P32" s="37">
        <v>300</v>
      </c>
      <c r="Q32" s="26">
        <f t="shared" si="11"/>
        <v>3600</v>
      </c>
      <c r="S32" s="29"/>
      <c r="T32" s="29"/>
      <c r="U32" s="29"/>
      <c r="V32" s="29"/>
      <c r="W32" s="29"/>
      <c r="X32" s="29"/>
      <c r="Y32" s="29"/>
      <c r="Z32" s="29"/>
      <c r="AA32" s="29"/>
      <c r="AB32" s="29"/>
      <c r="AC32" s="29"/>
      <c r="AD32" s="29"/>
      <c r="AE32" s="26">
        <f t="shared" si="12"/>
        <v>0</v>
      </c>
      <c r="AG32" s="29"/>
      <c r="AH32" s="29"/>
      <c r="AI32" s="29"/>
      <c r="AJ32" s="29"/>
      <c r="AK32" s="29"/>
      <c r="AL32" s="29"/>
      <c r="AM32" s="29"/>
      <c r="AN32" s="29"/>
      <c r="AO32" s="29"/>
      <c r="AP32" s="29"/>
      <c r="AQ32" s="29"/>
      <c r="AR32" s="29"/>
      <c r="AS32" s="26">
        <f t="shared" si="13"/>
        <v>0</v>
      </c>
      <c r="AU32" s="29"/>
      <c r="AV32" s="29"/>
      <c r="AW32" s="29"/>
      <c r="AX32" s="29"/>
      <c r="AY32" s="29"/>
      <c r="AZ32" s="29"/>
      <c r="BA32" s="29"/>
      <c r="BB32" s="29"/>
      <c r="BC32" s="29"/>
      <c r="BD32" s="29"/>
      <c r="BE32" s="29"/>
      <c r="BF32" s="29"/>
      <c r="BG32" s="26">
        <f t="shared" si="14"/>
        <v>0</v>
      </c>
    </row>
    <row r="33" spans="3:59" ht="15.75" x14ac:dyDescent="0.25">
      <c r="C33" s="34" t="s">
        <v>12</v>
      </c>
      <c r="D33" s="28"/>
      <c r="E33" s="37">
        <v>350</v>
      </c>
      <c r="F33" s="37">
        <v>350</v>
      </c>
      <c r="G33" s="37">
        <v>350</v>
      </c>
      <c r="H33" s="37">
        <v>350</v>
      </c>
      <c r="I33" s="37">
        <v>350</v>
      </c>
      <c r="J33" s="37">
        <v>350</v>
      </c>
      <c r="K33" s="37">
        <v>350</v>
      </c>
      <c r="L33" s="37">
        <v>350</v>
      </c>
      <c r="M33" s="37">
        <v>350</v>
      </c>
      <c r="N33" s="37">
        <v>350</v>
      </c>
      <c r="O33" s="37">
        <v>350</v>
      </c>
      <c r="P33" s="37">
        <v>350</v>
      </c>
      <c r="Q33" s="26">
        <f t="shared" si="11"/>
        <v>4200</v>
      </c>
      <c r="S33" s="29"/>
      <c r="T33" s="29"/>
      <c r="U33" s="29"/>
      <c r="V33" s="29"/>
      <c r="W33" s="29"/>
      <c r="X33" s="29"/>
      <c r="Y33" s="29"/>
      <c r="Z33" s="29"/>
      <c r="AA33" s="29"/>
      <c r="AB33" s="29"/>
      <c r="AC33" s="29"/>
      <c r="AD33" s="29"/>
      <c r="AE33" s="26">
        <f t="shared" si="12"/>
        <v>0</v>
      </c>
      <c r="AG33" s="29"/>
      <c r="AH33" s="29"/>
      <c r="AI33" s="29"/>
      <c r="AJ33" s="29"/>
      <c r="AK33" s="29"/>
      <c r="AL33" s="29"/>
      <c r="AM33" s="29"/>
      <c r="AN33" s="29"/>
      <c r="AO33" s="29"/>
      <c r="AP33" s="29"/>
      <c r="AQ33" s="29"/>
      <c r="AR33" s="29"/>
      <c r="AS33" s="26">
        <f t="shared" si="13"/>
        <v>0</v>
      </c>
      <c r="AU33" s="29"/>
      <c r="AV33" s="29"/>
      <c r="AW33" s="29"/>
      <c r="AX33" s="29"/>
      <c r="AY33" s="29"/>
      <c r="AZ33" s="29"/>
      <c r="BA33" s="29"/>
      <c r="BB33" s="29"/>
      <c r="BC33" s="29"/>
      <c r="BD33" s="29"/>
      <c r="BE33" s="29"/>
      <c r="BF33" s="29"/>
      <c r="BG33" s="26">
        <f t="shared" si="14"/>
        <v>0</v>
      </c>
    </row>
    <row r="34" spans="3:59" ht="15.75" x14ac:dyDescent="0.25">
      <c r="C34" s="34" t="s">
        <v>16</v>
      </c>
      <c r="D34" s="28"/>
      <c r="E34" s="37">
        <v>300</v>
      </c>
      <c r="F34" s="37">
        <v>300</v>
      </c>
      <c r="G34" s="37">
        <v>300</v>
      </c>
      <c r="H34" s="37">
        <v>300</v>
      </c>
      <c r="I34" s="37">
        <v>300</v>
      </c>
      <c r="J34" s="37">
        <v>300</v>
      </c>
      <c r="K34" s="37">
        <v>300</v>
      </c>
      <c r="L34" s="37">
        <v>300</v>
      </c>
      <c r="M34" s="37">
        <v>300</v>
      </c>
      <c r="N34" s="37">
        <v>300</v>
      </c>
      <c r="O34" s="37">
        <v>300</v>
      </c>
      <c r="P34" s="37">
        <v>300</v>
      </c>
      <c r="Q34" s="26">
        <f t="shared" si="11"/>
        <v>3600</v>
      </c>
      <c r="S34" s="29"/>
      <c r="T34" s="29"/>
      <c r="U34" s="29"/>
      <c r="V34" s="29"/>
      <c r="W34" s="29"/>
      <c r="X34" s="29"/>
      <c r="Y34" s="29"/>
      <c r="Z34" s="29"/>
      <c r="AA34" s="29"/>
      <c r="AB34" s="29"/>
      <c r="AC34" s="29"/>
      <c r="AD34" s="29"/>
      <c r="AE34" s="26">
        <f t="shared" si="12"/>
        <v>0</v>
      </c>
      <c r="AG34" s="29"/>
      <c r="AH34" s="29"/>
      <c r="AI34" s="29"/>
      <c r="AJ34" s="29"/>
      <c r="AK34" s="29"/>
      <c r="AL34" s="29"/>
      <c r="AM34" s="29"/>
      <c r="AN34" s="29"/>
      <c r="AO34" s="29"/>
      <c r="AP34" s="29"/>
      <c r="AQ34" s="29"/>
      <c r="AR34" s="29"/>
      <c r="AS34" s="26">
        <f t="shared" si="13"/>
        <v>0</v>
      </c>
      <c r="AU34" s="29"/>
      <c r="AV34" s="29"/>
      <c r="AW34" s="29"/>
      <c r="AX34" s="29"/>
      <c r="AY34" s="29"/>
      <c r="AZ34" s="29"/>
      <c r="BA34" s="29"/>
      <c r="BB34" s="29"/>
      <c r="BC34" s="29"/>
      <c r="BD34" s="29"/>
      <c r="BE34" s="29"/>
      <c r="BF34" s="29"/>
      <c r="BG34" s="26">
        <f t="shared" si="14"/>
        <v>0</v>
      </c>
    </row>
    <row r="35" spans="3:59" ht="15.75" x14ac:dyDescent="0.25">
      <c r="C35" s="34" t="s">
        <v>17</v>
      </c>
      <c r="E35" s="46"/>
      <c r="F35" s="46"/>
      <c r="G35" s="37">
        <v>150</v>
      </c>
      <c r="H35" s="37"/>
      <c r="I35" s="37"/>
      <c r="J35" s="37">
        <v>150</v>
      </c>
      <c r="K35" s="37"/>
      <c r="L35" s="37"/>
      <c r="M35" s="37">
        <v>150</v>
      </c>
      <c r="N35" s="37"/>
      <c r="O35" s="37"/>
      <c r="P35" s="37">
        <v>150</v>
      </c>
      <c r="Q35" s="26">
        <f t="shared" si="11"/>
        <v>600</v>
      </c>
      <c r="S35" s="27"/>
      <c r="T35" s="27"/>
      <c r="U35" s="29"/>
      <c r="V35" s="29"/>
      <c r="W35" s="29"/>
      <c r="X35" s="29"/>
      <c r="Y35" s="29"/>
      <c r="Z35" s="29"/>
      <c r="AA35" s="29"/>
      <c r="AB35" s="29"/>
      <c r="AC35" s="29"/>
      <c r="AD35" s="29"/>
      <c r="AE35" s="26">
        <f t="shared" si="12"/>
        <v>0</v>
      </c>
      <c r="AG35" s="27"/>
      <c r="AH35" s="27"/>
      <c r="AI35" s="29"/>
      <c r="AJ35" s="29"/>
      <c r="AK35" s="29"/>
      <c r="AL35" s="29"/>
      <c r="AM35" s="29"/>
      <c r="AN35" s="29"/>
      <c r="AO35" s="29"/>
      <c r="AP35" s="29"/>
      <c r="AQ35" s="29"/>
      <c r="AR35" s="29"/>
      <c r="AS35" s="26">
        <f t="shared" si="13"/>
        <v>0</v>
      </c>
      <c r="AU35" s="27"/>
      <c r="AV35" s="27"/>
      <c r="AW35" s="29"/>
      <c r="AX35" s="29"/>
      <c r="AY35" s="29"/>
      <c r="AZ35" s="29"/>
      <c r="BA35" s="29"/>
      <c r="BB35" s="29"/>
      <c r="BC35" s="29"/>
      <c r="BD35" s="29"/>
      <c r="BE35" s="29"/>
      <c r="BF35" s="29"/>
      <c r="BG35" s="26">
        <f t="shared" si="14"/>
        <v>0</v>
      </c>
    </row>
    <row r="36" spans="3:59" ht="15.75" x14ac:dyDescent="0.25">
      <c r="C36" s="34" t="s">
        <v>18</v>
      </c>
      <c r="E36" s="37">
        <v>200</v>
      </c>
      <c r="F36" s="37">
        <v>200</v>
      </c>
      <c r="G36" s="37">
        <v>200</v>
      </c>
      <c r="H36" s="37">
        <v>200</v>
      </c>
      <c r="I36" s="37">
        <v>200</v>
      </c>
      <c r="J36" s="37">
        <v>200</v>
      </c>
      <c r="K36" s="37">
        <v>200</v>
      </c>
      <c r="L36" s="37">
        <v>200</v>
      </c>
      <c r="M36" s="37">
        <v>200</v>
      </c>
      <c r="N36" s="37">
        <v>200</v>
      </c>
      <c r="O36" s="37">
        <v>200</v>
      </c>
      <c r="P36" s="37">
        <v>200</v>
      </c>
      <c r="Q36" s="26">
        <f t="shared" si="11"/>
        <v>2400</v>
      </c>
      <c r="S36" s="29"/>
      <c r="T36" s="29"/>
      <c r="U36" s="29"/>
      <c r="V36" s="29"/>
      <c r="W36" s="29"/>
      <c r="X36" s="29"/>
      <c r="Y36" s="29"/>
      <c r="Z36" s="29"/>
      <c r="AA36" s="29"/>
      <c r="AB36" s="29"/>
      <c r="AC36" s="29"/>
      <c r="AD36" s="29"/>
      <c r="AE36" s="26">
        <f t="shared" si="12"/>
        <v>0</v>
      </c>
      <c r="AG36" s="29"/>
      <c r="AH36" s="29"/>
      <c r="AI36" s="29"/>
      <c r="AJ36" s="29"/>
      <c r="AK36" s="29"/>
      <c r="AL36" s="29"/>
      <c r="AM36" s="29"/>
      <c r="AN36" s="29"/>
      <c r="AO36" s="29"/>
      <c r="AP36" s="29"/>
      <c r="AQ36" s="29"/>
      <c r="AR36" s="29"/>
      <c r="AS36" s="26">
        <f t="shared" si="13"/>
        <v>0</v>
      </c>
      <c r="AU36" s="29"/>
      <c r="AV36" s="29"/>
      <c r="AW36" s="29"/>
      <c r="AX36" s="29"/>
      <c r="AY36" s="29"/>
      <c r="AZ36" s="29"/>
      <c r="BA36" s="29"/>
      <c r="BB36" s="29"/>
      <c r="BC36" s="29"/>
      <c r="BD36" s="29"/>
      <c r="BE36" s="29"/>
      <c r="BF36" s="29"/>
      <c r="BG36" s="26">
        <f t="shared" si="14"/>
        <v>0</v>
      </c>
    </row>
    <row r="37" spans="3:59" ht="15.75" x14ac:dyDescent="0.25">
      <c r="C37" s="34" t="s">
        <v>19</v>
      </c>
      <c r="E37" s="37">
        <v>200</v>
      </c>
      <c r="F37" s="37">
        <v>200</v>
      </c>
      <c r="G37" s="37">
        <v>200</v>
      </c>
      <c r="H37" s="37">
        <v>200</v>
      </c>
      <c r="I37" s="37">
        <v>200</v>
      </c>
      <c r="J37" s="37">
        <v>200</v>
      </c>
      <c r="K37" s="37">
        <v>200</v>
      </c>
      <c r="L37" s="37">
        <v>200</v>
      </c>
      <c r="M37" s="37">
        <v>200</v>
      </c>
      <c r="N37" s="37">
        <v>200</v>
      </c>
      <c r="O37" s="37">
        <v>200</v>
      </c>
      <c r="P37" s="37">
        <v>200</v>
      </c>
      <c r="Q37" s="26">
        <f t="shared" si="11"/>
        <v>2400</v>
      </c>
      <c r="S37" s="29"/>
      <c r="T37" s="29"/>
      <c r="U37" s="29"/>
      <c r="V37" s="29"/>
      <c r="W37" s="29"/>
      <c r="X37" s="29"/>
      <c r="Y37" s="29"/>
      <c r="Z37" s="29"/>
      <c r="AA37" s="29"/>
      <c r="AB37" s="29"/>
      <c r="AC37" s="29"/>
      <c r="AD37" s="29"/>
      <c r="AE37" s="26">
        <f t="shared" si="12"/>
        <v>0</v>
      </c>
      <c r="AG37" s="29"/>
      <c r="AH37" s="29"/>
      <c r="AI37" s="29"/>
      <c r="AJ37" s="29"/>
      <c r="AK37" s="29"/>
      <c r="AL37" s="29"/>
      <c r="AM37" s="29"/>
      <c r="AN37" s="29"/>
      <c r="AO37" s="29"/>
      <c r="AP37" s="29"/>
      <c r="AQ37" s="29"/>
      <c r="AR37" s="29"/>
      <c r="AS37" s="26">
        <f t="shared" si="13"/>
        <v>0</v>
      </c>
      <c r="AU37" s="29"/>
      <c r="AV37" s="29"/>
      <c r="AW37" s="29"/>
      <c r="AX37" s="29"/>
      <c r="AY37" s="29"/>
      <c r="AZ37" s="29"/>
      <c r="BA37" s="29"/>
      <c r="BB37" s="29"/>
      <c r="BC37" s="29"/>
      <c r="BD37" s="29"/>
      <c r="BE37" s="29"/>
      <c r="BF37" s="29"/>
      <c r="BG37" s="26">
        <f t="shared" si="14"/>
        <v>0</v>
      </c>
    </row>
    <row r="38" spans="3:59" ht="15.75" x14ac:dyDescent="0.25">
      <c r="C38" s="34" t="s">
        <v>20</v>
      </c>
      <c r="E38" s="48">
        <v>50</v>
      </c>
      <c r="F38" s="48">
        <v>50</v>
      </c>
      <c r="G38" s="48">
        <v>50</v>
      </c>
      <c r="H38" s="48">
        <v>50</v>
      </c>
      <c r="I38" s="48">
        <v>50</v>
      </c>
      <c r="J38" s="48">
        <v>50</v>
      </c>
      <c r="K38" s="48">
        <v>50</v>
      </c>
      <c r="L38" s="48">
        <v>50</v>
      </c>
      <c r="M38" s="48">
        <v>50</v>
      </c>
      <c r="N38" s="48">
        <v>50</v>
      </c>
      <c r="O38" s="48">
        <v>50</v>
      </c>
      <c r="P38" s="48">
        <v>50</v>
      </c>
      <c r="Q38" s="26">
        <f t="shared" si="11"/>
        <v>600</v>
      </c>
      <c r="S38" s="47"/>
      <c r="T38" s="47"/>
      <c r="U38" s="47"/>
      <c r="V38" s="47"/>
      <c r="W38" s="47"/>
      <c r="X38" s="47"/>
      <c r="Y38" s="47"/>
      <c r="Z38" s="47"/>
      <c r="AA38" s="47"/>
      <c r="AB38" s="47"/>
      <c r="AC38" s="47"/>
      <c r="AD38" s="47"/>
      <c r="AE38" s="26">
        <f t="shared" si="12"/>
        <v>0</v>
      </c>
      <c r="AG38" s="47"/>
      <c r="AH38" s="47"/>
      <c r="AI38" s="47"/>
      <c r="AJ38" s="47"/>
      <c r="AK38" s="47"/>
      <c r="AL38" s="47"/>
      <c r="AM38" s="47"/>
      <c r="AN38" s="47"/>
      <c r="AO38" s="47"/>
      <c r="AP38" s="47"/>
      <c r="AQ38" s="47"/>
      <c r="AR38" s="47"/>
      <c r="AS38" s="26">
        <f t="shared" si="13"/>
        <v>0</v>
      </c>
      <c r="AU38" s="47"/>
      <c r="AV38" s="47"/>
      <c r="AW38" s="47"/>
      <c r="AX38" s="47"/>
      <c r="AY38" s="47"/>
      <c r="AZ38" s="47"/>
      <c r="BA38" s="47"/>
      <c r="BB38" s="47"/>
      <c r="BC38" s="47"/>
      <c r="BD38" s="47"/>
      <c r="BE38" s="47"/>
      <c r="BF38" s="47"/>
      <c r="BG38" s="26">
        <f t="shared" si="14"/>
        <v>0</v>
      </c>
    </row>
    <row r="39" spans="3:59" ht="15.75" x14ac:dyDescent="0.25">
      <c r="C39" s="34" t="s">
        <v>21</v>
      </c>
      <c r="E39" s="40">
        <v>300</v>
      </c>
      <c r="F39" s="40">
        <v>300</v>
      </c>
      <c r="G39" s="40">
        <v>300</v>
      </c>
      <c r="H39" s="40">
        <v>1200</v>
      </c>
      <c r="I39" s="40">
        <v>300</v>
      </c>
      <c r="J39" s="40">
        <v>300</v>
      </c>
      <c r="K39" s="40">
        <v>300</v>
      </c>
      <c r="L39" s="48">
        <v>50</v>
      </c>
      <c r="M39" s="40">
        <v>300</v>
      </c>
      <c r="N39" s="40">
        <v>300</v>
      </c>
      <c r="O39" s="40">
        <v>300</v>
      </c>
      <c r="P39" s="40">
        <v>600</v>
      </c>
      <c r="Q39" s="26">
        <f t="shared" si="11"/>
        <v>4550</v>
      </c>
      <c r="S39" s="23"/>
      <c r="T39" s="23"/>
      <c r="U39" s="23"/>
      <c r="V39" s="23"/>
      <c r="W39" s="23"/>
      <c r="X39" s="23"/>
      <c r="Y39" s="23"/>
      <c r="Z39" s="23"/>
      <c r="AA39" s="23"/>
      <c r="AB39" s="23"/>
      <c r="AC39" s="23"/>
      <c r="AD39" s="23"/>
      <c r="AE39" s="26">
        <f t="shared" si="12"/>
        <v>0</v>
      </c>
      <c r="AG39" s="23"/>
      <c r="AH39" s="23"/>
      <c r="AI39" s="23"/>
      <c r="AJ39" s="23"/>
      <c r="AK39" s="23"/>
      <c r="AL39" s="23"/>
      <c r="AM39" s="23"/>
      <c r="AN39" s="23"/>
      <c r="AO39" s="23"/>
      <c r="AP39" s="23"/>
      <c r="AQ39" s="23"/>
      <c r="AR39" s="23"/>
      <c r="AS39" s="26">
        <f t="shared" si="13"/>
        <v>0</v>
      </c>
      <c r="AU39" s="23"/>
      <c r="AV39" s="23"/>
      <c r="AW39" s="23"/>
      <c r="AX39" s="23"/>
      <c r="AY39" s="23"/>
      <c r="AZ39" s="23"/>
      <c r="BA39" s="23"/>
      <c r="BB39" s="23"/>
      <c r="BC39" s="23"/>
      <c r="BD39" s="23"/>
      <c r="BE39" s="23"/>
      <c r="BF39" s="23"/>
      <c r="BG39" s="26">
        <f t="shared" si="14"/>
        <v>0</v>
      </c>
    </row>
    <row r="40" spans="3:59" ht="15.75" hidden="1" x14ac:dyDescent="0.25">
      <c r="C40" s="13"/>
      <c r="E40" s="43"/>
      <c r="F40" s="43"/>
      <c r="G40" s="43"/>
      <c r="H40" s="43"/>
      <c r="I40" s="43"/>
      <c r="J40" s="43"/>
      <c r="K40" s="43"/>
      <c r="L40" s="43"/>
      <c r="M40" s="43"/>
      <c r="N40" s="43"/>
      <c r="O40" s="43"/>
      <c r="P40" s="43"/>
      <c r="Q40" s="26">
        <f t="shared" si="11"/>
        <v>0</v>
      </c>
      <c r="S40" s="7"/>
      <c r="T40" s="7"/>
      <c r="U40" s="7"/>
      <c r="V40" s="7"/>
      <c r="W40" s="7"/>
      <c r="X40" s="7"/>
      <c r="Y40" s="7"/>
      <c r="Z40" s="7"/>
      <c r="AA40" s="7"/>
      <c r="AB40" s="7"/>
      <c r="AC40" s="7"/>
      <c r="AD40" s="7"/>
      <c r="AE40" s="26">
        <f t="shared" si="12"/>
        <v>0</v>
      </c>
      <c r="AG40" s="7"/>
      <c r="AH40" s="7"/>
      <c r="AI40" s="7"/>
      <c r="AJ40" s="7"/>
      <c r="AK40" s="7"/>
      <c r="AL40" s="7"/>
      <c r="AM40" s="7"/>
      <c r="AN40" s="7"/>
      <c r="AO40" s="7"/>
      <c r="AP40" s="7"/>
      <c r="AQ40" s="7"/>
      <c r="AR40" s="7"/>
      <c r="AS40" s="26">
        <f t="shared" si="13"/>
        <v>0</v>
      </c>
      <c r="AU40" s="7"/>
      <c r="AV40" s="7"/>
      <c r="AW40" s="7"/>
      <c r="AX40" s="7"/>
      <c r="AY40" s="7"/>
      <c r="AZ40" s="7"/>
      <c r="BA40" s="7"/>
      <c r="BB40" s="7"/>
      <c r="BC40" s="7"/>
      <c r="BD40" s="7"/>
      <c r="BE40" s="7"/>
      <c r="BF40" s="7"/>
      <c r="BG40" s="26">
        <f t="shared" si="14"/>
        <v>0</v>
      </c>
    </row>
    <row r="41" spans="3:59" ht="15.75" x14ac:dyDescent="0.25">
      <c r="C41" s="15" t="s">
        <v>5</v>
      </c>
      <c r="E41" s="44">
        <f>SUM(E26:E39)</f>
        <v>2900</v>
      </c>
      <c r="F41" s="44">
        <f t="shared" ref="F41:P41" si="15">SUM(F26:F39)</f>
        <v>2900</v>
      </c>
      <c r="G41" s="44">
        <f t="shared" si="15"/>
        <v>3050</v>
      </c>
      <c r="H41" s="44">
        <f t="shared" si="15"/>
        <v>3800</v>
      </c>
      <c r="I41" s="44">
        <f t="shared" si="15"/>
        <v>2900</v>
      </c>
      <c r="J41" s="44">
        <f t="shared" si="15"/>
        <v>3050</v>
      </c>
      <c r="K41" s="44">
        <f t="shared" si="15"/>
        <v>2900</v>
      </c>
      <c r="L41" s="44">
        <f t="shared" si="15"/>
        <v>2650</v>
      </c>
      <c r="M41" s="44">
        <f t="shared" si="15"/>
        <v>3050</v>
      </c>
      <c r="N41" s="44">
        <f t="shared" si="15"/>
        <v>2900</v>
      </c>
      <c r="O41" s="44">
        <f t="shared" si="15"/>
        <v>2900</v>
      </c>
      <c r="P41" s="44">
        <f t="shared" si="15"/>
        <v>3350</v>
      </c>
      <c r="Q41" s="32">
        <f t="shared" si="11"/>
        <v>36350</v>
      </c>
      <c r="S41" s="31">
        <f>SUM(S26:S39)</f>
        <v>0</v>
      </c>
      <c r="T41" s="31">
        <f t="shared" ref="T41:AD41" si="16">SUM(T26:T39)</f>
        <v>0</v>
      </c>
      <c r="U41" s="31">
        <f t="shared" si="16"/>
        <v>0</v>
      </c>
      <c r="V41" s="31">
        <f t="shared" si="16"/>
        <v>0</v>
      </c>
      <c r="W41" s="31">
        <f t="shared" si="16"/>
        <v>0</v>
      </c>
      <c r="X41" s="31">
        <f t="shared" si="16"/>
        <v>0</v>
      </c>
      <c r="Y41" s="31">
        <f t="shared" si="16"/>
        <v>0</v>
      </c>
      <c r="Z41" s="31">
        <f t="shared" si="16"/>
        <v>0</v>
      </c>
      <c r="AA41" s="31">
        <f t="shared" si="16"/>
        <v>0</v>
      </c>
      <c r="AB41" s="31">
        <f t="shared" si="16"/>
        <v>0</v>
      </c>
      <c r="AC41" s="31">
        <f t="shared" si="16"/>
        <v>0</v>
      </c>
      <c r="AD41" s="31">
        <f t="shared" si="16"/>
        <v>0</v>
      </c>
      <c r="AE41" s="32">
        <f t="shared" si="12"/>
        <v>0</v>
      </c>
      <c r="AG41" s="31">
        <f>SUM(AG26:AG39)</f>
        <v>0</v>
      </c>
      <c r="AH41" s="31">
        <f t="shared" ref="AH41:AR41" si="17">SUM(AH26:AH39)</f>
        <v>0</v>
      </c>
      <c r="AI41" s="31">
        <f t="shared" si="17"/>
        <v>0</v>
      </c>
      <c r="AJ41" s="31">
        <f t="shared" si="17"/>
        <v>0</v>
      </c>
      <c r="AK41" s="31">
        <f t="shared" si="17"/>
        <v>0</v>
      </c>
      <c r="AL41" s="31">
        <f t="shared" si="17"/>
        <v>0</v>
      </c>
      <c r="AM41" s="31">
        <f t="shared" si="17"/>
        <v>0</v>
      </c>
      <c r="AN41" s="31">
        <f t="shared" si="17"/>
        <v>0</v>
      </c>
      <c r="AO41" s="31">
        <f t="shared" si="17"/>
        <v>0</v>
      </c>
      <c r="AP41" s="31">
        <f t="shared" si="17"/>
        <v>0</v>
      </c>
      <c r="AQ41" s="31">
        <f t="shared" si="17"/>
        <v>0</v>
      </c>
      <c r="AR41" s="31">
        <f t="shared" si="17"/>
        <v>0</v>
      </c>
      <c r="AS41" s="32">
        <f t="shared" si="13"/>
        <v>0</v>
      </c>
      <c r="AU41" s="31">
        <f>SUM(AU26:AU39)</f>
        <v>0</v>
      </c>
      <c r="AV41" s="31">
        <f t="shared" ref="AV41:BF41" si="18">SUM(AV26:AV39)</f>
        <v>0</v>
      </c>
      <c r="AW41" s="31">
        <f t="shared" si="18"/>
        <v>0</v>
      </c>
      <c r="AX41" s="31">
        <f t="shared" si="18"/>
        <v>0</v>
      </c>
      <c r="AY41" s="31">
        <f t="shared" si="18"/>
        <v>0</v>
      </c>
      <c r="AZ41" s="31">
        <f t="shared" si="18"/>
        <v>0</v>
      </c>
      <c r="BA41" s="31">
        <f t="shared" si="18"/>
        <v>0</v>
      </c>
      <c r="BB41" s="31">
        <f t="shared" si="18"/>
        <v>0</v>
      </c>
      <c r="BC41" s="31">
        <f t="shared" si="18"/>
        <v>0</v>
      </c>
      <c r="BD41" s="31">
        <f t="shared" si="18"/>
        <v>0</v>
      </c>
      <c r="BE41" s="31">
        <f t="shared" si="18"/>
        <v>0</v>
      </c>
      <c r="BF41" s="31">
        <f t="shared" si="18"/>
        <v>0</v>
      </c>
      <c r="BG41" s="32">
        <f t="shared" si="14"/>
        <v>0</v>
      </c>
    </row>
    <row r="42" spans="3:59" x14ac:dyDescent="0.25">
      <c r="C42" s="14"/>
    </row>
    <row r="43" spans="3:59" hidden="1" x14ac:dyDescent="0.25">
      <c r="C43" s="5" t="s">
        <v>9</v>
      </c>
      <c r="E43" s="6">
        <f>DATE(E$5,1,1)</f>
        <v>44562</v>
      </c>
      <c r="F43" s="6">
        <f>DATE(E$5,2,1)</f>
        <v>44593</v>
      </c>
      <c r="G43" s="6">
        <f>DATE(E$5,3,1)</f>
        <v>44621</v>
      </c>
      <c r="H43" s="6">
        <f>DATE(E$5,4,1)</f>
        <v>44652</v>
      </c>
      <c r="I43" s="6">
        <f>DATE(E$5,5,1)</f>
        <v>44682</v>
      </c>
      <c r="J43" s="6">
        <f>DATE(E$5,6,1)</f>
        <v>44713</v>
      </c>
      <c r="K43" s="6">
        <f>DATE(E$5,7,1)</f>
        <v>44743</v>
      </c>
      <c r="L43" s="6">
        <f>DATE(E$5,8,1)</f>
        <v>44774</v>
      </c>
      <c r="M43" s="6">
        <f>DATE(E$5,9,1)</f>
        <v>44805</v>
      </c>
      <c r="N43" s="6">
        <f>DATE(E$5,10,1)</f>
        <v>44835</v>
      </c>
      <c r="O43" s="6">
        <f>DATE(E$5,11,1)</f>
        <v>44866</v>
      </c>
      <c r="P43" s="6">
        <f>DATE(E$5,12,1)</f>
        <v>44896</v>
      </c>
      <c r="Q43" s="6">
        <f>E42</f>
        <v>0</v>
      </c>
      <c r="S43" s="6">
        <f>DATE(S$5,1,1)</f>
        <v>44927</v>
      </c>
      <c r="T43" s="6">
        <f>DATE(S$5,2,1)</f>
        <v>44958</v>
      </c>
      <c r="U43" s="6">
        <f>DATE(S$5,3,1)</f>
        <v>44986</v>
      </c>
      <c r="V43" s="6">
        <f>DATE(S$5,4,1)</f>
        <v>45017</v>
      </c>
      <c r="W43" s="6">
        <f>DATE(S$5,5,1)</f>
        <v>45047</v>
      </c>
      <c r="X43" s="6">
        <f>DATE(S$5,6,1)</f>
        <v>45078</v>
      </c>
      <c r="Y43" s="6">
        <f>DATE(S$5,7,1)</f>
        <v>45108</v>
      </c>
      <c r="Z43" s="6">
        <f>DATE(S$5,8,1)</f>
        <v>45139</v>
      </c>
      <c r="AA43" s="6">
        <f>DATE(S$5,9,1)</f>
        <v>45170</v>
      </c>
      <c r="AB43" s="6">
        <f>DATE(S$5,10,1)</f>
        <v>45200</v>
      </c>
      <c r="AC43" s="6">
        <f>DATE(S$5,11,1)</f>
        <v>45231</v>
      </c>
      <c r="AD43" s="6">
        <f>DATE(S$5,12,1)</f>
        <v>45261</v>
      </c>
      <c r="AE43" s="6">
        <f>S42</f>
        <v>0</v>
      </c>
      <c r="AG43" s="6">
        <f>DATE(AG$5,1,1)</f>
        <v>45292</v>
      </c>
      <c r="AH43" s="6">
        <f>DATE(AG$5,2,1)</f>
        <v>45323</v>
      </c>
      <c r="AI43" s="6">
        <f>DATE(AG$5,3,1)</f>
        <v>45352</v>
      </c>
      <c r="AJ43" s="6">
        <f>DATE(AG$5,4,1)</f>
        <v>45383</v>
      </c>
      <c r="AK43" s="6">
        <f>DATE(AG$5,5,1)</f>
        <v>45413</v>
      </c>
      <c r="AL43" s="6">
        <f>DATE(AG$5,6,1)</f>
        <v>45444</v>
      </c>
      <c r="AM43" s="6">
        <f>DATE(AG$5,7,1)</f>
        <v>45474</v>
      </c>
      <c r="AN43" s="6">
        <f>DATE(AG$5,8,1)</f>
        <v>45505</v>
      </c>
      <c r="AO43" s="6">
        <f>DATE(AG$5,9,1)</f>
        <v>45536</v>
      </c>
      <c r="AP43" s="6">
        <f>DATE(AG$5,10,1)</f>
        <v>45566</v>
      </c>
      <c r="AQ43" s="6">
        <f>DATE(AG$5,11,1)</f>
        <v>45597</v>
      </c>
      <c r="AR43" s="6">
        <f>DATE(AG$5,12,1)</f>
        <v>45627</v>
      </c>
      <c r="AS43" s="6">
        <f>AG42</f>
        <v>0</v>
      </c>
      <c r="AU43" s="6">
        <f>DATE(AU$5,1,1)</f>
        <v>45658</v>
      </c>
      <c r="AV43" s="6">
        <f>DATE(AU$5,2,1)</f>
        <v>45689</v>
      </c>
      <c r="AW43" s="6">
        <f>DATE(AU$5,3,1)</f>
        <v>45717</v>
      </c>
      <c r="AX43" s="6">
        <f>DATE(AU$5,4,1)</f>
        <v>45748</v>
      </c>
      <c r="AY43" s="6">
        <f>DATE(AU$5,5,1)</f>
        <v>45778</v>
      </c>
      <c r="AZ43" s="6">
        <f>DATE(AU$5,6,1)</f>
        <v>45809</v>
      </c>
      <c r="BA43" s="6">
        <f>DATE(AU$5,7,1)</f>
        <v>45839</v>
      </c>
      <c r="BB43" s="6">
        <f>DATE(AU$5,8,1)</f>
        <v>45870</v>
      </c>
      <c r="BC43" s="6">
        <f>DATE(AU$5,9,1)</f>
        <v>45901</v>
      </c>
      <c r="BD43" s="6">
        <f>DATE(AU$5,10,1)</f>
        <v>45931</v>
      </c>
      <c r="BE43" s="6">
        <f>DATE(AU$5,11,1)</f>
        <v>45962</v>
      </c>
      <c r="BF43" s="6">
        <f>DATE(AU$5,12,1)</f>
        <v>45992</v>
      </c>
      <c r="BG43" s="6">
        <f>AU42</f>
        <v>0</v>
      </c>
    </row>
    <row r="44" spans="3:59" hidden="1" x14ac:dyDescent="0.25">
      <c r="C44" s="2" t="s">
        <v>10</v>
      </c>
      <c r="E44" s="11"/>
      <c r="F44" s="11"/>
      <c r="G44" s="11"/>
      <c r="H44" s="11"/>
      <c r="I44" s="11"/>
      <c r="J44" s="11"/>
      <c r="K44" s="11"/>
      <c r="L44" s="11"/>
      <c r="M44" s="11"/>
      <c r="N44" s="11"/>
      <c r="O44" s="11"/>
      <c r="P44" s="11"/>
      <c r="Q44" s="12"/>
      <c r="S44" s="11"/>
      <c r="T44" s="11"/>
      <c r="U44" s="11"/>
      <c r="V44" s="11"/>
      <c r="W44" s="11"/>
      <c r="X44" s="11"/>
      <c r="Y44" s="11"/>
      <c r="Z44" s="11"/>
      <c r="AA44" s="11"/>
      <c r="AB44" s="11"/>
      <c r="AC44" s="11"/>
      <c r="AD44" s="11"/>
      <c r="AE44" s="12"/>
      <c r="AG44" s="11"/>
      <c r="AH44" s="11"/>
      <c r="AI44" s="11"/>
      <c r="AJ44" s="11"/>
      <c r="AK44" s="11"/>
      <c r="AL44" s="11"/>
      <c r="AM44" s="11"/>
      <c r="AN44" s="11"/>
      <c r="AO44" s="11"/>
      <c r="AP44" s="11"/>
      <c r="AQ44" s="11"/>
      <c r="AR44" s="11"/>
      <c r="AS44" s="12"/>
      <c r="AU44" s="11"/>
      <c r="AV44" s="11"/>
      <c r="AW44" s="11"/>
      <c r="AX44" s="11"/>
      <c r="AY44" s="11"/>
      <c r="AZ44" s="11"/>
      <c r="BA44" s="11"/>
      <c r="BB44" s="11"/>
      <c r="BC44" s="11"/>
      <c r="BD44" s="11"/>
      <c r="BE44" s="11"/>
      <c r="BF44" s="11"/>
      <c r="BG44" s="12"/>
    </row>
    <row r="45" spans="3:59" hidden="1" x14ac:dyDescent="0.25">
      <c r="C45" s="2" t="s">
        <v>11</v>
      </c>
      <c r="E45" s="7"/>
      <c r="F45" s="7"/>
      <c r="G45" s="7"/>
      <c r="H45" s="7"/>
      <c r="I45" s="7"/>
      <c r="J45" s="7"/>
      <c r="K45" s="7"/>
      <c r="L45" s="7"/>
      <c r="M45" s="7"/>
      <c r="N45" s="7"/>
      <c r="O45" s="7"/>
      <c r="P45" s="7"/>
      <c r="Q45" s="8"/>
      <c r="S45" s="7"/>
      <c r="T45" s="7"/>
      <c r="U45" s="7"/>
      <c r="V45" s="7"/>
      <c r="W45" s="7"/>
      <c r="X45" s="7"/>
      <c r="Y45" s="7"/>
      <c r="Z45" s="7"/>
      <c r="AA45" s="7"/>
      <c r="AB45" s="7"/>
      <c r="AC45" s="7"/>
      <c r="AD45" s="7"/>
      <c r="AE45" s="8"/>
      <c r="AG45" s="7"/>
      <c r="AH45" s="7"/>
      <c r="AI45" s="7"/>
      <c r="AJ45" s="7"/>
      <c r="AK45" s="7"/>
      <c r="AL45" s="7"/>
      <c r="AM45" s="7"/>
      <c r="AN45" s="7"/>
      <c r="AO45" s="7"/>
      <c r="AP45" s="7"/>
      <c r="AQ45" s="7"/>
      <c r="AR45" s="7"/>
      <c r="AS45" s="8"/>
      <c r="AU45" s="7"/>
      <c r="AV45" s="7"/>
      <c r="AW45" s="7"/>
      <c r="AX45" s="7"/>
      <c r="AY45" s="7"/>
      <c r="AZ45" s="7"/>
      <c r="BA45" s="7"/>
      <c r="BB45" s="7"/>
      <c r="BC45" s="7"/>
      <c r="BD45" s="7"/>
      <c r="BE45" s="7"/>
      <c r="BF45" s="7"/>
      <c r="BG45" s="8"/>
    </row>
    <row r="46" spans="3:59" hidden="1" x14ac:dyDescent="0.25">
      <c r="C46" s="13" t="s">
        <v>12</v>
      </c>
      <c r="E46" s="7"/>
      <c r="F46" s="7"/>
      <c r="G46" s="7"/>
      <c r="H46" s="7"/>
      <c r="I46" s="7"/>
      <c r="J46" s="7"/>
      <c r="K46" s="7"/>
      <c r="L46" s="7"/>
      <c r="M46" s="7"/>
      <c r="N46" s="7"/>
      <c r="O46" s="7"/>
      <c r="P46" s="7"/>
      <c r="Q46" s="8"/>
      <c r="S46" s="7"/>
      <c r="T46" s="7"/>
      <c r="U46" s="7"/>
      <c r="V46" s="7"/>
      <c r="W46" s="7"/>
      <c r="X46" s="7"/>
      <c r="Y46" s="7"/>
      <c r="Z46" s="7"/>
      <c r="AA46" s="7"/>
      <c r="AB46" s="7"/>
      <c r="AC46" s="7"/>
      <c r="AD46" s="7"/>
      <c r="AE46" s="8"/>
      <c r="AG46" s="7"/>
      <c r="AH46" s="7"/>
      <c r="AI46" s="7"/>
      <c r="AJ46" s="7"/>
      <c r="AK46" s="7"/>
      <c r="AL46" s="7"/>
      <c r="AM46" s="7"/>
      <c r="AN46" s="7"/>
      <c r="AO46" s="7"/>
      <c r="AP46" s="7"/>
      <c r="AQ46" s="7"/>
      <c r="AR46" s="7"/>
      <c r="AS46" s="8"/>
      <c r="AU46" s="7"/>
      <c r="AV46" s="7"/>
      <c r="AW46" s="7"/>
      <c r="AX46" s="7"/>
      <c r="AY46" s="7"/>
      <c r="AZ46" s="7"/>
      <c r="BA46" s="7"/>
      <c r="BB46" s="7"/>
      <c r="BC46" s="7"/>
      <c r="BD46" s="7"/>
      <c r="BE46" s="7"/>
      <c r="BF46" s="7"/>
      <c r="BG46" s="8"/>
    </row>
    <row r="48" spans="3:59" x14ac:dyDescent="0.25">
      <c r="C48" s="20" t="s">
        <v>13</v>
      </c>
      <c r="E48" s="6">
        <f>DATE(E$5,1,1)</f>
        <v>44562</v>
      </c>
      <c r="F48" s="6">
        <f>DATE(E$5,2,1)</f>
        <v>44593</v>
      </c>
      <c r="G48" s="6">
        <f>DATE(E$5,3,1)</f>
        <v>44621</v>
      </c>
      <c r="H48" s="6">
        <f>DATE(E$5,4,1)</f>
        <v>44652</v>
      </c>
      <c r="I48" s="6">
        <f>DATE(E$5,5,1)</f>
        <v>44682</v>
      </c>
      <c r="J48" s="6">
        <f>DATE(E$5,6,1)</f>
        <v>44713</v>
      </c>
      <c r="K48" s="6">
        <f>DATE(E$5,7,1)</f>
        <v>44743</v>
      </c>
      <c r="L48" s="6">
        <f>DATE(E$5,8,1)</f>
        <v>44774</v>
      </c>
      <c r="M48" s="6">
        <f>DATE(E$5,9,1)</f>
        <v>44805</v>
      </c>
      <c r="N48" s="6">
        <f>DATE(E$5,10,1)</f>
        <v>44835</v>
      </c>
      <c r="O48" s="6">
        <f>DATE(E$5,11,1)</f>
        <v>44866</v>
      </c>
      <c r="P48" s="6">
        <f>DATE(E$5,12,1)</f>
        <v>44896</v>
      </c>
      <c r="Q48" s="6">
        <f>E47</f>
        <v>0</v>
      </c>
      <c r="S48" s="6">
        <f>DATE(S$5,1,1)</f>
        <v>44927</v>
      </c>
      <c r="T48" s="6">
        <f>DATE(S$5,2,1)</f>
        <v>44958</v>
      </c>
      <c r="U48" s="6">
        <f>DATE(S$5,3,1)</f>
        <v>44986</v>
      </c>
      <c r="V48" s="6">
        <f>DATE(S$5,4,1)</f>
        <v>45017</v>
      </c>
      <c r="W48" s="6">
        <f>DATE(S$5,5,1)</f>
        <v>45047</v>
      </c>
      <c r="X48" s="6">
        <f>DATE(S$5,6,1)</f>
        <v>45078</v>
      </c>
      <c r="Y48" s="6">
        <f>DATE(S$5,7,1)</f>
        <v>45108</v>
      </c>
      <c r="Z48" s="6">
        <f>DATE(S$5,8,1)</f>
        <v>45139</v>
      </c>
      <c r="AA48" s="6">
        <f>DATE(S$5,9,1)</f>
        <v>45170</v>
      </c>
      <c r="AB48" s="6">
        <f>DATE(S$5,10,1)</f>
        <v>45200</v>
      </c>
      <c r="AC48" s="6">
        <f>DATE(S$5,11,1)</f>
        <v>45231</v>
      </c>
      <c r="AD48" s="6">
        <f>DATE(S$5,12,1)</f>
        <v>45261</v>
      </c>
      <c r="AE48" s="6">
        <f>S47</f>
        <v>0</v>
      </c>
      <c r="AG48" s="6">
        <f>DATE(AG$5,1,1)</f>
        <v>45292</v>
      </c>
      <c r="AH48" s="6">
        <f>DATE(AG$5,2,1)</f>
        <v>45323</v>
      </c>
      <c r="AI48" s="6">
        <f>DATE(AG$5,3,1)</f>
        <v>45352</v>
      </c>
      <c r="AJ48" s="6">
        <f>DATE(AG$5,4,1)</f>
        <v>45383</v>
      </c>
      <c r="AK48" s="6">
        <f>DATE(AG$5,5,1)</f>
        <v>45413</v>
      </c>
      <c r="AL48" s="6">
        <f>DATE(AG$5,6,1)</f>
        <v>45444</v>
      </c>
      <c r="AM48" s="6">
        <f>DATE(AG$5,7,1)</f>
        <v>45474</v>
      </c>
      <c r="AN48" s="6">
        <f>DATE(AG$5,8,1)</f>
        <v>45505</v>
      </c>
      <c r="AO48" s="6">
        <f>DATE(AG$5,9,1)</f>
        <v>45536</v>
      </c>
      <c r="AP48" s="6">
        <f>DATE(AG$5,10,1)</f>
        <v>45566</v>
      </c>
      <c r="AQ48" s="6">
        <f>DATE(AG$5,11,1)</f>
        <v>45597</v>
      </c>
      <c r="AR48" s="6">
        <f>DATE(AG$5,12,1)</f>
        <v>45627</v>
      </c>
      <c r="AS48" s="6">
        <f>AG47</f>
        <v>0</v>
      </c>
      <c r="AU48" s="6">
        <f>DATE(AU$5,1,1)</f>
        <v>45658</v>
      </c>
      <c r="AV48" s="6">
        <f>DATE(AU$5,2,1)</f>
        <v>45689</v>
      </c>
      <c r="AW48" s="6">
        <f>DATE(AU$5,3,1)</f>
        <v>45717</v>
      </c>
      <c r="AX48" s="6">
        <f>DATE(AU$5,4,1)</f>
        <v>45748</v>
      </c>
      <c r="AY48" s="6">
        <f>DATE(AU$5,5,1)</f>
        <v>45778</v>
      </c>
      <c r="AZ48" s="6">
        <f>DATE(AU$5,6,1)</f>
        <v>45809</v>
      </c>
      <c r="BA48" s="6">
        <f>DATE(AU$5,7,1)</f>
        <v>45839</v>
      </c>
      <c r="BB48" s="6">
        <f>DATE(AU$5,8,1)</f>
        <v>45870</v>
      </c>
      <c r="BC48" s="6">
        <f>DATE(AU$5,9,1)</f>
        <v>45901</v>
      </c>
      <c r="BD48" s="6">
        <f>DATE(AU$5,10,1)</f>
        <v>45931</v>
      </c>
      <c r="BE48" s="6">
        <f>DATE(AU$5,11,1)</f>
        <v>45962</v>
      </c>
      <c r="BF48" s="6">
        <f>DATE(AU$5,12,1)</f>
        <v>45992</v>
      </c>
      <c r="BG48" s="6">
        <f>AU47</f>
        <v>0</v>
      </c>
    </row>
    <row r="49" spans="3:59" ht="15.75" x14ac:dyDescent="0.25">
      <c r="C49" s="34" t="s">
        <v>22</v>
      </c>
      <c r="E49" s="37">
        <v>1000</v>
      </c>
      <c r="F49" s="37">
        <v>1000</v>
      </c>
      <c r="G49" s="37">
        <v>1000</v>
      </c>
      <c r="H49" s="37">
        <v>0</v>
      </c>
      <c r="I49" s="37">
        <v>0</v>
      </c>
      <c r="J49" s="37">
        <v>0</v>
      </c>
      <c r="K49" s="37">
        <v>0</v>
      </c>
      <c r="L49" s="37">
        <v>0</v>
      </c>
      <c r="M49" s="37">
        <v>0</v>
      </c>
      <c r="N49" s="37">
        <v>0</v>
      </c>
      <c r="O49" s="37">
        <v>0</v>
      </c>
      <c r="P49" s="37">
        <v>0</v>
      </c>
      <c r="Q49" s="38">
        <f>SUM(E49:P49)</f>
        <v>3000</v>
      </c>
      <c r="S49" s="29"/>
      <c r="T49" s="29"/>
      <c r="U49" s="29"/>
      <c r="V49" s="29"/>
      <c r="W49" s="29"/>
      <c r="X49" s="29"/>
      <c r="Y49" s="29"/>
      <c r="Z49" s="29"/>
      <c r="AA49" s="29"/>
      <c r="AB49" s="29"/>
      <c r="AC49" s="29"/>
      <c r="AD49" s="29"/>
      <c r="AE49" s="26">
        <f>SUM(S49:AD49)</f>
        <v>0</v>
      </c>
      <c r="AG49" s="29"/>
      <c r="AH49" s="29"/>
      <c r="AI49" s="29"/>
      <c r="AJ49" s="29"/>
      <c r="AK49" s="29"/>
      <c r="AL49" s="29"/>
      <c r="AM49" s="29"/>
      <c r="AN49" s="29"/>
      <c r="AO49" s="29"/>
      <c r="AP49" s="29"/>
      <c r="AQ49" s="29"/>
      <c r="AR49" s="29"/>
      <c r="AS49" s="26">
        <f>SUM(AG49:AR49)</f>
        <v>0</v>
      </c>
      <c r="AU49" s="29"/>
      <c r="AV49" s="29"/>
      <c r="AW49" s="29"/>
      <c r="AX49" s="29"/>
      <c r="AY49" s="29"/>
      <c r="AZ49" s="29"/>
      <c r="BA49" s="29"/>
      <c r="BB49" s="29"/>
      <c r="BC49" s="29"/>
      <c r="BD49" s="29"/>
      <c r="BE49" s="29"/>
      <c r="BF49" s="29"/>
      <c r="BG49" s="26">
        <f>SUM(AU49:BF49)</f>
        <v>0</v>
      </c>
    </row>
    <row r="50" spans="3:59" ht="15.75" x14ac:dyDescent="0.25">
      <c r="C50" s="34" t="s">
        <v>23</v>
      </c>
      <c r="E50" s="37">
        <v>400</v>
      </c>
      <c r="F50" s="37">
        <v>400</v>
      </c>
      <c r="G50" s="37">
        <v>400</v>
      </c>
      <c r="H50" s="37">
        <v>400</v>
      </c>
      <c r="I50" s="37">
        <v>400</v>
      </c>
      <c r="J50" s="37">
        <v>400</v>
      </c>
      <c r="K50" s="37">
        <v>400</v>
      </c>
      <c r="L50" s="37">
        <v>400</v>
      </c>
      <c r="M50" s="37">
        <v>400</v>
      </c>
      <c r="N50" s="37">
        <v>400</v>
      </c>
      <c r="O50" s="37">
        <v>400</v>
      </c>
      <c r="P50" s="37">
        <v>400</v>
      </c>
      <c r="Q50" s="38">
        <f t="shared" ref="Q50:Q55" si="19">SUM(E50:P50)</f>
        <v>4800</v>
      </c>
      <c r="S50" s="29"/>
      <c r="T50" s="29"/>
      <c r="U50" s="29"/>
      <c r="V50" s="29"/>
      <c r="W50" s="29"/>
      <c r="X50" s="29"/>
      <c r="Y50" s="29"/>
      <c r="Z50" s="29"/>
      <c r="AA50" s="29"/>
      <c r="AB50" s="29"/>
      <c r="AC50" s="29"/>
      <c r="AD50" s="29"/>
      <c r="AE50" s="26">
        <f t="shared" ref="AE50:AE55" si="20">SUM(S50:AD50)</f>
        <v>0</v>
      </c>
      <c r="AG50" s="29"/>
      <c r="AH50" s="29"/>
      <c r="AI50" s="29"/>
      <c r="AJ50" s="29"/>
      <c r="AK50" s="29"/>
      <c r="AL50" s="29"/>
      <c r="AM50" s="29"/>
      <c r="AN50" s="29"/>
      <c r="AO50" s="29"/>
      <c r="AP50" s="29"/>
      <c r="AQ50" s="29"/>
      <c r="AR50" s="29"/>
      <c r="AS50" s="26">
        <f t="shared" ref="AS50:AS55" si="21">SUM(AG50:AR50)</f>
        <v>0</v>
      </c>
      <c r="AU50" s="29"/>
      <c r="AV50" s="29"/>
      <c r="AW50" s="29"/>
      <c r="AX50" s="29"/>
      <c r="AY50" s="29"/>
      <c r="AZ50" s="29"/>
      <c r="BA50" s="29"/>
      <c r="BB50" s="29"/>
      <c r="BC50" s="29"/>
      <c r="BD50" s="29"/>
      <c r="BE50" s="29"/>
      <c r="BF50" s="29"/>
      <c r="BG50" s="26">
        <f t="shared" ref="BG50:BG55" si="22">SUM(AU50:BF50)</f>
        <v>0</v>
      </c>
    </row>
    <row r="51" spans="3:59" ht="15.75" x14ac:dyDescent="0.25">
      <c r="C51" s="34" t="s">
        <v>24</v>
      </c>
      <c r="E51" s="37">
        <v>150</v>
      </c>
      <c r="F51" s="37">
        <v>150</v>
      </c>
      <c r="G51" s="37">
        <v>150</v>
      </c>
      <c r="H51" s="37">
        <v>750</v>
      </c>
      <c r="I51" s="37">
        <v>750</v>
      </c>
      <c r="J51" s="37">
        <v>750</v>
      </c>
      <c r="K51" s="37">
        <v>750</v>
      </c>
      <c r="L51" s="37">
        <v>750</v>
      </c>
      <c r="M51" s="37">
        <v>750</v>
      </c>
      <c r="N51" s="37">
        <v>750</v>
      </c>
      <c r="O51" s="37">
        <v>750</v>
      </c>
      <c r="P51" s="37">
        <v>750</v>
      </c>
      <c r="Q51" s="38">
        <f t="shared" si="19"/>
        <v>7200</v>
      </c>
      <c r="S51" s="29"/>
      <c r="T51" s="29"/>
      <c r="U51" s="29"/>
      <c r="V51" s="29"/>
      <c r="W51" s="29"/>
      <c r="X51" s="29"/>
      <c r="Y51" s="29"/>
      <c r="Z51" s="29"/>
      <c r="AA51" s="29"/>
      <c r="AB51" s="29"/>
      <c r="AC51" s="29"/>
      <c r="AD51" s="29"/>
      <c r="AE51" s="26">
        <f t="shared" si="20"/>
        <v>0</v>
      </c>
      <c r="AG51" s="29"/>
      <c r="AH51" s="29"/>
      <c r="AI51" s="29"/>
      <c r="AJ51" s="29"/>
      <c r="AK51" s="29"/>
      <c r="AL51" s="29"/>
      <c r="AM51" s="29"/>
      <c r="AN51" s="29"/>
      <c r="AO51" s="29"/>
      <c r="AP51" s="29"/>
      <c r="AQ51" s="29"/>
      <c r="AR51" s="29"/>
      <c r="AS51" s="26">
        <f t="shared" si="21"/>
        <v>0</v>
      </c>
      <c r="AU51" s="29"/>
      <c r="AV51" s="29"/>
      <c r="AW51" s="29"/>
      <c r="AX51" s="29"/>
      <c r="AY51" s="29"/>
      <c r="AZ51" s="29"/>
      <c r="BA51" s="29"/>
      <c r="BB51" s="29"/>
      <c r="BC51" s="29"/>
      <c r="BD51" s="29"/>
      <c r="BE51" s="29"/>
      <c r="BF51" s="29"/>
      <c r="BG51" s="26">
        <f t="shared" si="22"/>
        <v>0</v>
      </c>
    </row>
    <row r="52" spans="3:59" ht="15.75" x14ac:dyDescent="0.25">
      <c r="C52" s="34" t="s">
        <v>25</v>
      </c>
      <c r="E52" s="37">
        <v>0</v>
      </c>
      <c r="F52" s="37">
        <v>0</v>
      </c>
      <c r="G52" s="37">
        <v>0</v>
      </c>
      <c r="H52" s="39">
        <v>600</v>
      </c>
      <c r="I52" s="37">
        <v>1400</v>
      </c>
      <c r="J52" s="40">
        <v>1300</v>
      </c>
      <c r="K52" s="40">
        <v>1500</v>
      </c>
      <c r="L52" s="40">
        <v>200</v>
      </c>
      <c r="M52" s="40">
        <v>1300</v>
      </c>
      <c r="N52" s="40">
        <v>1500</v>
      </c>
      <c r="O52" s="40">
        <v>1400</v>
      </c>
      <c r="P52" s="40">
        <v>1000</v>
      </c>
      <c r="Q52" s="38">
        <f t="shared" si="19"/>
        <v>10200</v>
      </c>
      <c r="S52" s="29"/>
      <c r="T52" s="29"/>
      <c r="U52" s="29"/>
      <c r="V52" s="36"/>
      <c r="W52" s="29"/>
      <c r="X52" s="23"/>
      <c r="Y52" s="23"/>
      <c r="Z52" s="23"/>
      <c r="AA52" s="23"/>
      <c r="AB52" s="23"/>
      <c r="AC52" s="23"/>
      <c r="AD52" s="23"/>
      <c r="AE52" s="26">
        <f t="shared" si="20"/>
        <v>0</v>
      </c>
      <c r="AG52" s="29"/>
      <c r="AH52" s="29"/>
      <c r="AI52" s="29"/>
      <c r="AJ52" s="36"/>
      <c r="AK52" s="29"/>
      <c r="AL52" s="23"/>
      <c r="AM52" s="23"/>
      <c r="AN52" s="23"/>
      <c r="AO52" s="23"/>
      <c r="AP52" s="23"/>
      <c r="AQ52" s="23"/>
      <c r="AR52" s="23"/>
      <c r="AS52" s="26">
        <f t="shared" si="21"/>
        <v>0</v>
      </c>
      <c r="AU52" s="29"/>
      <c r="AV52" s="29"/>
      <c r="AW52" s="29"/>
      <c r="AX52" s="36"/>
      <c r="AY52" s="29"/>
      <c r="AZ52" s="23"/>
      <c r="BA52" s="23"/>
      <c r="BB52" s="23"/>
      <c r="BC52" s="23"/>
      <c r="BD52" s="23"/>
      <c r="BE52" s="23"/>
      <c r="BF52" s="23"/>
      <c r="BG52" s="26">
        <f t="shared" si="22"/>
        <v>0</v>
      </c>
    </row>
    <row r="53" spans="3:59" ht="15.75" x14ac:dyDescent="0.25">
      <c r="C53" s="34" t="s">
        <v>26</v>
      </c>
      <c r="E53" s="37">
        <v>200</v>
      </c>
      <c r="F53" s="37">
        <v>100</v>
      </c>
      <c r="G53" s="37">
        <v>0</v>
      </c>
      <c r="H53" s="39">
        <v>100</v>
      </c>
      <c r="I53" s="39">
        <v>100</v>
      </c>
      <c r="J53" s="39">
        <v>100</v>
      </c>
      <c r="K53" s="39">
        <v>100</v>
      </c>
      <c r="L53" s="39">
        <v>100</v>
      </c>
      <c r="M53" s="39">
        <v>100</v>
      </c>
      <c r="N53" s="39">
        <v>100</v>
      </c>
      <c r="O53" s="39">
        <v>100</v>
      </c>
      <c r="P53" s="39">
        <v>100</v>
      </c>
      <c r="Q53" s="38">
        <f t="shared" si="19"/>
        <v>1200</v>
      </c>
      <c r="S53" s="29"/>
      <c r="T53" s="29"/>
      <c r="U53" s="29"/>
      <c r="V53" s="36"/>
      <c r="W53" s="36"/>
      <c r="X53" s="36"/>
      <c r="Y53" s="36"/>
      <c r="Z53" s="36"/>
      <c r="AA53" s="36"/>
      <c r="AB53" s="36"/>
      <c r="AC53" s="36"/>
      <c r="AD53" s="36"/>
      <c r="AE53" s="26">
        <f t="shared" si="20"/>
        <v>0</v>
      </c>
      <c r="AG53" s="29"/>
      <c r="AH53" s="29"/>
      <c r="AI53" s="29"/>
      <c r="AJ53" s="36"/>
      <c r="AK53" s="36"/>
      <c r="AL53" s="36"/>
      <c r="AM53" s="36"/>
      <c r="AN53" s="36"/>
      <c r="AO53" s="36"/>
      <c r="AP53" s="36"/>
      <c r="AQ53" s="36"/>
      <c r="AR53" s="36"/>
      <c r="AS53" s="26">
        <f t="shared" si="21"/>
        <v>0</v>
      </c>
      <c r="AU53" s="29"/>
      <c r="AV53" s="29"/>
      <c r="AW53" s="29"/>
      <c r="AX53" s="36"/>
      <c r="AY53" s="36"/>
      <c r="AZ53" s="36"/>
      <c r="BA53" s="36"/>
      <c r="BB53" s="36"/>
      <c r="BC53" s="36"/>
      <c r="BD53" s="36"/>
      <c r="BE53" s="36"/>
      <c r="BF53" s="36"/>
      <c r="BG53" s="26">
        <f t="shared" si="22"/>
        <v>0</v>
      </c>
    </row>
    <row r="54" spans="3:59" ht="15.75" hidden="1" x14ac:dyDescent="0.25">
      <c r="C54" s="33"/>
      <c r="E54" s="41"/>
      <c r="F54" s="41"/>
      <c r="G54" s="41"/>
      <c r="H54" s="42"/>
      <c r="I54" s="41"/>
      <c r="J54" s="43"/>
      <c r="K54" s="43"/>
      <c r="L54" s="43"/>
      <c r="M54" s="43"/>
      <c r="N54" s="43"/>
      <c r="O54" s="43"/>
      <c r="P54" s="43"/>
      <c r="Q54" s="38">
        <f t="shared" si="19"/>
        <v>0</v>
      </c>
      <c r="S54" s="33"/>
      <c r="T54" s="33"/>
      <c r="U54" s="33"/>
      <c r="V54" s="2"/>
      <c r="W54" s="33"/>
      <c r="X54" s="7"/>
      <c r="Y54" s="7"/>
      <c r="Z54" s="7"/>
      <c r="AA54" s="7"/>
      <c r="AB54" s="7"/>
      <c r="AC54" s="7"/>
      <c r="AD54" s="7"/>
      <c r="AE54" s="26">
        <f t="shared" si="20"/>
        <v>0</v>
      </c>
      <c r="AG54" s="33"/>
      <c r="AH54" s="33"/>
      <c r="AI54" s="33"/>
      <c r="AJ54" s="2"/>
      <c r="AK54" s="33"/>
      <c r="AL54" s="7"/>
      <c r="AM54" s="7"/>
      <c r="AN54" s="7"/>
      <c r="AO54" s="7"/>
      <c r="AP54" s="7"/>
      <c r="AQ54" s="7"/>
      <c r="AR54" s="7"/>
      <c r="AS54" s="26">
        <f t="shared" si="21"/>
        <v>0</v>
      </c>
      <c r="AU54" s="33"/>
      <c r="AV54" s="33"/>
      <c r="AW54" s="33"/>
      <c r="AX54" s="2"/>
      <c r="AY54" s="33"/>
      <c r="AZ54" s="7"/>
      <c r="BA54" s="7"/>
      <c r="BB54" s="7"/>
      <c r="BC54" s="7"/>
      <c r="BD54" s="7"/>
      <c r="BE54" s="7"/>
      <c r="BF54" s="7"/>
      <c r="BG54" s="26">
        <f t="shared" si="22"/>
        <v>0</v>
      </c>
    </row>
    <row r="55" spans="3:59" ht="15.75" x14ac:dyDescent="0.25">
      <c r="C55" s="15" t="s">
        <v>5</v>
      </c>
      <c r="E55" s="44">
        <f>SUM(E49:E53)</f>
        <v>1750</v>
      </c>
      <c r="F55" s="44">
        <f t="shared" ref="F55:P55" si="23">SUM(F49:F53)</f>
        <v>1650</v>
      </c>
      <c r="G55" s="44">
        <f t="shared" si="23"/>
        <v>1550</v>
      </c>
      <c r="H55" s="44">
        <f t="shared" si="23"/>
        <v>1850</v>
      </c>
      <c r="I55" s="44">
        <f t="shared" si="23"/>
        <v>2650</v>
      </c>
      <c r="J55" s="44">
        <f t="shared" si="23"/>
        <v>2550</v>
      </c>
      <c r="K55" s="44">
        <f t="shared" si="23"/>
        <v>2750</v>
      </c>
      <c r="L55" s="44">
        <f t="shared" si="23"/>
        <v>1450</v>
      </c>
      <c r="M55" s="44">
        <f t="shared" si="23"/>
        <v>2550</v>
      </c>
      <c r="N55" s="44">
        <f t="shared" si="23"/>
        <v>2750</v>
      </c>
      <c r="O55" s="44">
        <f t="shared" si="23"/>
        <v>2650</v>
      </c>
      <c r="P55" s="44">
        <f t="shared" si="23"/>
        <v>2250</v>
      </c>
      <c r="Q55" s="38">
        <f t="shared" si="19"/>
        <v>26400</v>
      </c>
      <c r="S55" s="31">
        <f>SUM(S49:S53)</f>
        <v>0</v>
      </c>
      <c r="T55" s="31">
        <f t="shared" ref="T55:AD55" si="24">SUM(T49:T53)</f>
        <v>0</v>
      </c>
      <c r="U55" s="31">
        <f t="shared" si="24"/>
        <v>0</v>
      </c>
      <c r="V55" s="31">
        <f t="shared" si="24"/>
        <v>0</v>
      </c>
      <c r="W55" s="31">
        <f t="shared" si="24"/>
        <v>0</v>
      </c>
      <c r="X55" s="31">
        <f t="shared" si="24"/>
        <v>0</v>
      </c>
      <c r="Y55" s="31">
        <f t="shared" si="24"/>
        <v>0</v>
      </c>
      <c r="Z55" s="31">
        <f t="shared" si="24"/>
        <v>0</v>
      </c>
      <c r="AA55" s="31">
        <f t="shared" si="24"/>
        <v>0</v>
      </c>
      <c r="AB55" s="31">
        <f t="shared" si="24"/>
        <v>0</v>
      </c>
      <c r="AC55" s="31">
        <f t="shared" si="24"/>
        <v>0</v>
      </c>
      <c r="AD55" s="31">
        <f t="shared" si="24"/>
        <v>0</v>
      </c>
      <c r="AE55" s="26">
        <f t="shared" si="20"/>
        <v>0</v>
      </c>
      <c r="AG55" s="31">
        <f>SUM(AG49:AG53)</f>
        <v>0</v>
      </c>
      <c r="AH55" s="31">
        <f t="shared" ref="AH55:AR55" si="25">SUM(AH49:AH53)</f>
        <v>0</v>
      </c>
      <c r="AI55" s="31">
        <f t="shared" si="25"/>
        <v>0</v>
      </c>
      <c r="AJ55" s="31">
        <f t="shared" si="25"/>
        <v>0</v>
      </c>
      <c r="AK55" s="31">
        <f t="shared" si="25"/>
        <v>0</v>
      </c>
      <c r="AL55" s="31">
        <f t="shared" si="25"/>
        <v>0</v>
      </c>
      <c r="AM55" s="31">
        <f t="shared" si="25"/>
        <v>0</v>
      </c>
      <c r="AN55" s="31">
        <f t="shared" si="25"/>
        <v>0</v>
      </c>
      <c r="AO55" s="31">
        <f t="shared" si="25"/>
        <v>0</v>
      </c>
      <c r="AP55" s="31">
        <f t="shared" si="25"/>
        <v>0</v>
      </c>
      <c r="AQ55" s="31">
        <f t="shared" si="25"/>
        <v>0</v>
      </c>
      <c r="AR55" s="31">
        <f t="shared" si="25"/>
        <v>0</v>
      </c>
      <c r="AS55" s="26">
        <f t="shared" si="21"/>
        <v>0</v>
      </c>
      <c r="AU55" s="31">
        <f>SUM(AU49:AU53)</f>
        <v>0</v>
      </c>
      <c r="AV55" s="31">
        <f t="shared" ref="AV55:BF55" si="26">SUM(AV49:AV53)</f>
        <v>0</v>
      </c>
      <c r="AW55" s="31">
        <f t="shared" si="26"/>
        <v>0</v>
      </c>
      <c r="AX55" s="31">
        <f t="shared" si="26"/>
        <v>0</v>
      </c>
      <c r="AY55" s="31">
        <f t="shared" si="26"/>
        <v>0</v>
      </c>
      <c r="AZ55" s="31">
        <f t="shared" si="26"/>
        <v>0</v>
      </c>
      <c r="BA55" s="31">
        <f t="shared" si="26"/>
        <v>0</v>
      </c>
      <c r="BB55" s="31">
        <f t="shared" si="26"/>
        <v>0</v>
      </c>
      <c r="BC55" s="31">
        <f t="shared" si="26"/>
        <v>0</v>
      </c>
      <c r="BD55" s="31">
        <f t="shared" si="26"/>
        <v>0</v>
      </c>
      <c r="BE55" s="31">
        <f t="shared" si="26"/>
        <v>0</v>
      </c>
      <c r="BF55" s="31">
        <f t="shared" si="26"/>
        <v>0</v>
      </c>
      <c r="BG55" s="26">
        <f t="shared" si="22"/>
        <v>0</v>
      </c>
    </row>
  </sheetData>
  <mergeCells count="7">
    <mergeCell ref="AF1:BG3"/>
    <mergeCell ref="A1:Z3"/>
    <mergeCell ref="E5:Q5"/>
    <mergeCell ref="AA1:AE3"/>
    <mergeCell ref="S5:AE5"/>
    <mergeCell ref="AG5:AS5"/>
    <mergeCell ref="AU5:B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5BCA8-5CFA-4A57-84B8-4257DA7DF47D}">
  <dimension ref="A1:Z69"/>
  <sheetViews>
    <sheetView showGridLines="0" zoomScale="93" zoomScaleNormal="93" workbookViewId="0">
      <pane ySplit="11" topLeftCell="A16" activePane="bottomLeft" state="frozen"/>
      <selection activeCell="A11" sqref="A11"/>
      <selection pane="bottomLeft" activeCell="L62" sqref="L62"/>
    </sheetView>
  </sheetViews>
  <sheetFormatPr defaultRowHeight="15" x14ac:dyDescent="0.25"/>
  <cols>
    <col min="2" max="2" width="5.85546875" customWidth="1"/>
    <col min="3" max="3" width="16.42578125" customWidth="1"/>
    <col min="4" max="4" width="16.5703125" customWidth="1"/>
    <col min="5" max="5" width="21.42578125" customWidth="1"/>
    <col min="6" max="6" width="12.42578125" customWidth="1"/>
    <col min="7" max="7" width="34.28515625" customWidth="1"/>
    <col min="8" max="8" width="13.5703125" customWidth="1"/>
    <col min="9" max="9" width="18.5703125" customWidth="1"/>
    <col min="10" max="10" width="13.42578125" customWidth="1"/>
  </cols>
  <sheetData>
    <row r="1" spans="1:26" x14ac:dyDescent="0.25">
      <c r="A1" s="203" t="s">
        <v>29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row>
    <row r="2" spans="1:26" x14ac:dyDescent="0.25">
      <c r="A2" s="204"/>
      <c r="B2" s="204"/>
      <c r="C2" s="204"/>
      <c r="D2" s="204"/>
      <c r="E2" s="204"/>
      <c r="F2" s="204"/>
      <c r="G2" s="204"/>
      <c r="H2" s="204"/>
      <c r="I2" s="204"/>
      <c r="J2" s="204"/>
      <c r="K2" s="204"/>
      <c r="L2" s="204"/>
      <c r="M2" s="204"/>
      <c r="N2" s="204"/>
      <c r="O2" s="204"/>
      <c r="P2" s="204"/>
      <c r="Q2" s="204"/>
      <c r="R2" s="204"/>
      <c r="S2" s="204"/>
      <c r="T2" s="204"/>
      <c r="U2" s="204"/>
      <c r="V2" s="204"/>
      <c r="W2" s="204"/>
      <c r="X2" s="204"/>
      <c r="Y2" s="204"/>
      <c r="Z2" s="204"/>
    </row>
    <row r="3" spans="1:26" x14ac:dyDescent="0.25">
      <c r="A3" s="204"/>
      <c r="B3" s="204"/>
      <c r="C3" s="204"/>
      <c r="D3" s="204"/>
      <c r="E3" s="204"/>
      <c r="F3" s="204"/>
      <c r="G3" s="204"/>
      <c r="H3" s="204"/>
      <c r="I3" s="204"/>
      <c r="J3" s="204"/>
      <c r="K3" s="204"/>
      <c r="L3" s="204"/>
      <c r="M3" s="204"/>
      <c r="N3" s="204"/>
      <c r="O3" s="204"/>
      <c r="P3" s="204"/>
      <c r="Q3" s="204"/>
      <c r="R3" s="204"/>
      <c r="S3" s="204"/>
      <c r="T3" s="204"/>
      <c r="U3" s="204"/>
      <c r="V3" s="204"/>
      <c r="W3" s="204"/>
      <c r="X3" s="204"/>
      <c r="Y3" s="204"/>
      <c r="Z3" s="204"/>
    </row>
    <row r="7" spans="1:26" x14ac:dyDescent="0.25">
      <c r="J7" s="80"/>
    </row>
    <row r="11" spans="1:26" x14ac:dyDescent="0.25">
      <c r="C11" s="49" t="s">
        <v>30</v>
      </c>
      <c r="D11" s="49" t="s">
        <v>31</v>
      </c>
      <c r="E11" s="49" t="s">
        <v>32</v>
      </c>
      <c r="F11" s="49" t="s">
        <v>33</v>
      </c>
      <c r="G11" s="49" t="s">
        <v>34</v>
      </c>
      <c r="H11" s="54" t="s">
        <v>36</v>
      </c>
      <c r="I11" s="54" t="s">
        <v>37</v>
      </c>
    </row>
    <row r="12" spans="1:26" x14ac:dyDescent="0.25">
      <c r="C12" s="51">
        <v>37266</v>
      </c>
      <c r="D12" s="50" t="s">
        <v>3</v>
      </c>
      <c r="E12" s="50" t="s">
        <v>8</v>
      </c>
      <c r="F12" s="52">
        <v>150</v>
      </c>
      <c r="G12" s="53"/>
      <c r="H12" s="55" cm="1">
        <f t="array" ref="H12">SUMPRODUCT(TRACKING[Amount],(TRACKING[Date]&lt;=TRACKING[[#This Row],[Date]])*1)</f>
        <v>150</v>
      </c>
      <c r="I12" s="76">
        <f>IF(AND(TRACKING[[#This Row],[Type]]="INCOME",shift_late_income_status_2="Active",DAY(TRACKING[[#This Row],[Date]])&gt;=Shift_late_income_starting_day), DATE(YEAR(TRACKING[[#This Row],[Date]]),MONTH(TRACKING[[#This Row],[Date]])+1,1),TRACKING[[#This Row],[Date]])</f>
        <v>37266</v>
      </c>
      <c r="J12" s="86"/>
      <c r="L12" s="86"/>
    </row>
    <row r="13" spans="1:26" x14ac:dyDescent="0.25">
      <c r="C13" s="51">
        <v>37295</v>
      </c>
      <c r="D13" s="50" t="s">
        <v>9</v>
      </c>
      <c r="E13" s="50" t="s">
        <v>16</v>
      </c>
      <c r="F13" s="52">
        <v>100</v>
      </c>
      <c r="G13" s="53"/>
      <c r="H13" s="55" cm="1">
        <f t="array" ref="H13">SUMPRODUCT(TRACKING[Amount],(TRACKING[Date]&lt;=TRACKING[[#This Row],[Date]])*1)</f>
        <v>250</v>
      </c>
      <c r="I13" s="76">
        <f>IF(AND(TRACKING[[#This Row],[Type]]="INCOME",shift_late_income_status_2="Active",DAY(TRACKING[[#This Row],[Date]])&gt;=Shift_late_income_starting_day), DATE(YEAR(TRACKING[[#This Row],[Date]]),MONTH(TRACKING[[#This Row],[Date]])+1,1),TRACKING[[#This Row],[Date]])</f>
        <v>37295</v>
      </c>
    </row>
    <row r="14" spans="1:26" x14ac:dyDescent="0.25">
      <c r="C14" s="51">
        <v>44562</v>
      </c>
      <c r="D14" s="50" t="s">
        <v>3</v>
      </c>
      <c r="E14" s="50" t="s">
        <v>35</v>
      </c>
      <c r="F14" s="52">
        <v>3500</v>
      </c>
      <c r="G14" s="53"/>
      <c r="H14" s="55" cm="1">
        <f t="array" ref="H14">SUMPRODUCT(TRACKING[Amount],(TRACKING[Date]&lt;=TRACKING[[#This Row],[Date]])*1)</f>
        <v>3750</v>
      </c>
      <c r="I14" s="76">
        <f>IF(AND(TRACKING[[#This Row],[Type]]="INCOME",shift_late_income_status_2="Active",DAY(TRACKING[[#This Row],[Date]])&gt;=Shift_late_income_starting_day), DATE(YEAR(TRACKING[[#This Row],[Date]]),MONTH(TRACKING[[#This Row],[Date]])+1,1),TRACKING[[#This Row],[Date]])</f>
        <v>44562</v>
      </c>
    </row>
    <row r="15" spans="1:26" x14ac:dyDescent="0.25">
      <c r="C15" s="51">
        <v>44563</v>
      </c>
      <c r="D15" s="50" t="s">
        <v>9</v>
      </c>
      <c r="E15" s="50" t="s">
        <v>10</v>
      </c>
      <c r="F15" s="52">
        <v>1200</v>
      </c>
      <c r="G15" s="53"/>
      <c r="H15" s="55" cm="1">
        <f t="array" ref="H15">SUMPRODUCT(TRACKING[Amount],(TRACKING[Date]&lt;=TRACKING[[#This Row],[Date]])*1)</f>
        <v>4950</v>
      </c>
      <c r="I15" s="76">
        <f>IF(AND(TRACKING[[#This Row],[Type]]="INCOME",shift_late_income_status_2="Active",DAY(TRACKING[[#This Row],[Date]])&gt;=Shift_late_income_starting_day), DATE(YEAR(TRACKING[[#This Row],[Date]]),MONTH(TRACKING[[#This Row],[Date]])+1,1),TRACKING[[#This Row],[Date]])</f>
        <v>44563</v>
      </c>
    </row>
    <row r="16" spans="1:26" x14ac:dyDescent="0.25">
      <c r="C16" s="51">
        <v>44565</v>
      </c>
      <c r="D16" s="50" t="s">
        <v>13</v>
      </c>
      <c r="E16" s="50" t="s">
        <v>22</v>
      </c>
      <c r="F16" s="52">
        <v>1000</v>
      </c>
      <c r="G16" s="53"/>
      <c r="H16" s="55" cm="1">
        <f t="array" ref="H16">SUMPRODUCT(TRACKING[Amount],(TRACKING[Date]&lt;=TRACKING[[#This Row],[Date]])*1)</f>
        <v>5950</v>
      </c>
      <c r="I16" s="76">
        <f>IF(AND(TRACKING[[#This Row],[Type]]="INCOME",shift_late_income_status_2="Active",DAY(TRACKING[[#This Row],[Date]])&gt;=Shift_late_income_starting_day), DATE(YEAR(TRACKING[[#This Row],[Date]]),MONTH(TRACKING[[#This Row],[Date]])+1,1),TRACKING[[#This Row],[Date]])</f>
        <v>44565</v>
      </c>
    </row>
    <row r="17" spans="3:9" x14ac:dyDescent="0.25">
      <c r="C17" s="51">
        <v>44568</v>
      </c>
      <c r="D17" s="50" t="s">
        <v>9</v>
      </c>
      <c r="E17" s="50" t="s">
        <v>12</v>
      </c>
      <c r="F17" s="52">
        <v>120</v>
      </c>
      <c r="G17" s="53"/>
      <c r="H17" s="55" cm="1">
        <f t="array" ref="H17">SUMPRODUCT(TRACKING[Amount],(TRACKING[Date]&lt;=TRACKING[[#This Row],[Date]])*1)</f>
        <v>6070</v>
      </c>
      <c r="I17" s="76">
        <f>IF(AND(TRACKING[[#This Row],[Type]]="INCOME",shift_late_income_status_2="Active",DAY(TRACKING[[#This Row],[Date]])&gt;=Shift_late_income_starting_day), DATE(YEAR(TRACKING[[#This Row],[Date]]),MONTH(TRACKING[[#This Row],[Date]])+1,1),TRACKING[[#This Row],[Date]])</f>
        <v>44568</v>
      </c>
    </row>
    <row r="18" spans="3:9" x14ac:dyDescent="0.25">
      <c r="C18" s="51">
        <v>44570</v>
      </c>
      <c r="D18" s="50" t="s">
        <v>9</v>
      </c>
      <c r="E18" s="50" t="s">
        <v>16</v>
      </c>
      <c r="F18" s="52">
        <v>80</v>
      </c>
      <c r="G18" s="53"/>
      <c r="H18" s="55" cm="1">
        <f t="array" ref="H18">SUMPRODUCT(TRACKING[Amount],(TRACKING[Date]&lt;=TRACKING[[#This Row],[Date]])*1)</f>
        <v>6150</v>
      </c>
      <c r="I18" s="76">
        <f>IF(AND(TRACKING[[#This Row],[Type]]="INCOME",shift_late_income_status_2="Active",DAY(TRACKING[[#This Row],[Date]])&gt;=Shift_late_income_starting_day), DATE(YEAR(TRACKING[[#This Row],[Date]]),MONTH(TRACKING[[#This Row],[Date]])+1,1),TRACKING[[#This Row],[Date]])</f>
        <v>44570</v>
      </c>
    </row>
    <row r="19" spans="3:9" x14ac:dyDescent="0.25">
      <c r="C19" s="51">
        <v>44571</v>
      </c>
      <c r="D19" s="50" t="s">
        <v>9</v>
      </c>
      <c r="E19" s="50" t="s">
        <v>71</v>
      </c>
      <c r="F19" s="52">
        <v>120</v>
      </c>
      <c r="G19" s="53"/>
      <c r="H19" s="55" cm="1">
        <f t="array" ref="H19">SUMPRODUCT(TRACKING[Amount],(TRACKING[Date]&lt;=TRACKING[[#This Row],[Date]])*1)</f>
        <v>6270</v>
      </c>
      <c r="I19" s="76">
        <f>IF(AND(TRACKING[[#This Row],[Type]]="INCOME",shift_late_income_status_2="Active",DAY(TRACKING[[#This Row],[Date]])&gt;=Shift_late_income_starting_day), DATE(YEAR(TRACKING[[#This Row],[Date]]),MONTH(TRACKING[[#This Row],[Date]])+1,1),TRACKING[[#This Row],[Date]])</f>
        <v>44571</v>
      </c>
    </row>
    <row r="20" spans="3:9" x14ac:dyDescent="0.25">
      <c r="C20" s="51">
        <v>44573</v>
      </c>
      <c r="D20" s="50" t="s">
        <v>9</v>
      </c>
      <c r="E20" s="50" t="s">
        <v>20</v>
      </c>
      <c r="F20" s="52">
        <v>50</v>
      </c>
      <c r="G20" s="53"/>
      <c r="H20" s="55" cm="1">
        <f t="array" ref="H20">SUMPRODUCT(TRACKING[Amount],(TRACKING[Date]&lt;=TRACKING[[#This Row],[Date]])*1)</f>
        <v>6320</v>
      </c>
      <c r="I20" s="76">
        <f>IF(AND(TRACKING[[#This Row],[Type]]="INCOME",shift_late_income_status_2="Active",DAY(TRACKING[[#This Row],[Date]])&gt;=Shift_late_income_starting_day), DATE(YEAR(TRACKING[[#This Row],[Date]]),MONTH(TRACKING[[#This Row],[Date]])+1,1),TRACKING[[#This Row],[Date]])</f>
        <v>44573</v>
      </c>
    </row>
    <row r="21" spans="3:9" x14ac:dyDescent="0.25">
      <c r="C21" s="51">
        <v>44574</v>
      </c>
      <c r="D21" s="50" t="s">
        <v>9</v>
      </c>
      <c r="E21" s="50" t="s">
        <v>70</v>
      </c>
      <c r="F21" s="52">
        <v>70</v>
      </c>
      <c r="G21" s="53"/>
      <c r="H21" s="55" cm="1">
        <f t="array" ref="H21">SUMPRODUCT(TRACKING[Amount],(TRACKING[Date]&lt;=TRACKING[[#This Row],[Date]])*1)</f>
        <v>6390</v>
      </c>
      <c r="I21" s="76">
        <f>IF(AND(TRACKING[[#This Row],[Type]]="INCOME",shift_late_income_status_2="Active",DAY(TRACKING[[#This Row],[Date]])&gt;=Shift_late_income_starting_day), DATE(YEAR(TRACKING[[#This Row],[Date]]),MONTH(TRACKING[[#This Row],[Date]])+1,1),TRACKING[[#This Row],[Date]])</f>
        <v>44574</v>
      </c>
    </row>
    <row r="22" spans="3:9" x14ac:dyDescent="0.25">
      <c r="C22" s="51">
        <v>44575</v>
      </c>
      <c r="D22" s="50" t="s">
        <v>9</v>
      </c>
      <c r="E22" s="50" t="s">
        <v>12</v>
      </c>
      <c r="F22" s="52">
        <v>80</v>
      </c>
      <c r="G22" s="53"/>
      <c r="H22" s="55" cm="1">
        <f t="array" ref="H22">SUMPRODUCT(TRACKING[Amount],(TRACKING[Date]&lt;=TRACKING[[#This Row],[Date]])*1)</f>
        <v>6470</v>
      </c>
      <c r="I22" s="76">
        <f>IF(AND(TRACKING[[#This Row],[Type]]="INCOME",shift_late_income_status_2="Active",DAY(TRACKING[[#This Row],[Date]])&gt;=Shift_late_income_starting_day), DATE(YEAR(TRACKING[[#This Row],[Date]]),MONTH(TRACKING[[#This Row],[Date]])+1,1),TRACKING[[#This Row],[Date]])</f>
        <v>44575</v>
      </c>
    </row>
    <row r="23" spans="3:9" x14ac:dyDescent="0.25">
      <c r="C23" s="51">
        <v>44576</v>
      </c>
      <c r="D23" s="50" t="s">
        <v>3</v>
      </c>
      <c r="E23" s="50" t="s">
        <v>7</v>
      </c>
      <c r="F23" s="52">
        <v>1200</v>
      </c>
      <c r="G23" s="53"/>
      <c r="H23" s="55" cm="1">
        <f t="array" ref="H23">SUMPRODUCT(TRACKING[Amount],(TRACKING[Date]&lt;=TRACKING[[#This Row],[Date]])*1)</f>
        <v>7670</v>
      </c>
      <c r="I23" s="76">
        <f>IF(AND(TRACKING[[#This Row],[Type]]="INCOME",shift_late_income_status_2="Active",DAY(TRACKING[[#This Row],[Date]])&gt;=Shift_late_income_starting_day), DATE(YEAR(TRACKING[[#This Row],[Date]]),MONTH(TRACKING[[#This Row],[Date]])+1,1),TRACKING[[#This Row],[Date]])</f>
        <v>44576</v>
      </c>
    </row>
    <row r="24" spans="3:9" x14ac:dyDescent="0.25">
      <c r="C24" s="51">
        <v>44578</v>
      </c>
      <c r="D24" s="50" t="s">
        <v>9</v>
      </c>
      <c r="E24" s="50" t="s">
        <v>71</v>
      </c>
      <c r="F24" s="52">
        <v>100</v>
      </c>
      <c r="G24" s="53"/>
      <c r="H24" s="55" cm="1">
        <f t="array" ref="H24">SUMPRODUCT(TRACKING[Amount],(TRACKING[Date]&lt;=TRACKING[[#This Row],[Date]])*1)</f>
        <v>7770</v>
      </c>
      <c r="I24" s="76">
        <f>IF(AND(TRACKING[[#This Row],[Type]]="INCOME",shift_late_income_status_2="Active",DAY(TRACKING[[#This Row],[Date]])&gt;=Shift_late_income_starting_day), DATE(YEAR(TRACKING[[#This Row],[Date]]),MONTH(TRACKING[[#This Row],[Date]])+1,1),TRACKING[[#This Row],[Date]])</f>
        <v>44578</v>
      </c>
    </row>
    <row r="25" spans="3:9" x14ac:dyDescent="0.25">
      <c r="C25" s="51">
        <v>44579</v>
      </c>
      <c r="D25" s="50" t="s">
        <v>9</v>
      </c>
      <c r="E25" s="50" t="s">
        <v>18</v>
      </c>
      <c r="F25" s="52">
        <v>70</v>
      </c>
      <c r="G25" s="53"/>
      <c r="H25" s="55" cm="1">
        <f t="array" ref="H25">SUMPRODUCT(TRACKING[Amount],(TRACKING[Date]&lt;=TRACKING[[#This Row],[Date]])*1)</f>
        <v>7840</v>
      </c>
      <c r="I25" s="76">
        <f>IF(AND(TRACKING[[#This Row],[Type]]="INCOME",shift_late_income_status_2="Active",DAY(TRACKING[[#This Row],[Date]])&gt;=Shift_late_income_starting_day), DATE(YEAR(TRACKING[[#This Row],[Date]]),MONTH(TRACKING[[#This Row],[Date]])+1,1),TRACKING[[#This Row],[Date]])</f>
        <v>44579</v>
      </c>
    </row>
    <row r="26" spans="3:9" x14ac:dyDescent="0.25">
      <c r="C26" s="51">
        <v>44580</v>
      </c>
      <c r="D26" s="50" t="s">
        <v>9</v>
      </c>
      <c r="E26" s="50" t="s">
        <v>70</v>
      </c>
      <c r="F26" s="52">
        <v>60</v>
      </c>
      <c r="G26" s="53"/>
      <c r="H26" s="55" cm="1">
        <f t="array" ref="H26">SUMPRODUCT(TRACKING[Amount],(TRACKING[Date]&lt;=TRACKING[[#This Row],[Date]])*1)</f>
        <v>7900</v>
      </c>
      <c r="I26" s="76">
        <f>IF(AND(TRACKING[[#This Row],[Type]]="INCOME",shift_late_income_status_2="Active",DAY(TRACKING[[#This Row],[Date]])&gt;=Shift_late_income_starting_day), DATE(YEAR(TRACKING[[#This Row],[Date]]),MONTH(TRACKING[[#This Row],[Date]])+1,1),TRACKING[[#This Row],[Date]])</f>
        <v>44580</v>
      </c>
    </row>
    <row r="27" spans="3:9" x14ac:dyDescent="0.25">
      <c r="C27" s="51">
        <v>44582</v>
      </c>
      <c r="D27" s="50" t="s">
        <v>9</v>
      </c>
      <c r="E27" s="50" t="s">
        <v>71</v>
      </c>
      <c r="F27" s="52">
        <v>30</v>
      </c>
      <c r="G27" s="53"/>
      <c r="H27" s="55" cm="1">
        <f t="array" ref="H27">SUMPRODUCT(TRACKING[Amount],(TRACKING[Date]&lt;=TRACKING[[#This Row],[Date]])*1)</f>
        <v>7930</v>
      </c>
      <c r="I27" s="76">
        <f>IF(AND(TRACKING[[#This Row],[Type]]="INCOME",shift_late_income_status_2="Active",DAY(TRACKING[[#This Row],[Date]])&gt;=Shift_late_income_starting_day), DATE(YEAR(TRACKING[[#This Row],[Date]]),MONTH(TRACKING[[#This Row],[Date]])+1,1),TRACKING[[#This Row],[Date]])</f>
        <v>44582</v>
      </c>
    </row>
    <row r="28" spans="3:9" x14ac:dyDescent="0.25">
      <c r="C28" s="51">
        <v>44583</v>
      </c>
      <c r="D28" s="50" t="s">
        <v>9</v>
      </c>
      <c r="E28" s="50" t="s">
        <v>16</v>
      </c>
      <c r="F28" s="52">
        <v>100</v>
      </c>
      <c r="G28" s="53"/>
      <c r="H28" s="55" cm="1">
        <f t="array" ref="H28">SUMPRODUCT(TRACKING[Amount],(TRACKING[Date]&lt;=TRACKING[[#This Row],[Date]])*1)</f>
        <v>8030</v>
      </c>
      <c r="I28" s="76">
        <f>IF(AND(TRACKING[[#This Row],[Type]]="INCOME",shift_late_income_status_2="Active",DAY(TRACKING[[#This Row],[Date]])&gt;=Shift_late_income_starting_day), DATE(YEAR(TRACKING[[#This Row],[Date]]),MONTH(TRACKING[[#This Row],[Date]])+1,1),TRACKING[[#This Row],[Date]])</f>
        <v>44583</v>
      </c>
    </row>
    <row r="29" spans="3:9" x14ac:dyDescent="0.25">
      <c r="C29" s="51">
        <v>44585</v>
      </c>
      <c r="D29" s="50" t="s">
        <v>9</v>
      </c>
      <c r="E29" s="50" t="s">
        <v>70</v>
      </c>
      <c r="F29" s="52">
        <v>40</v>
      </c>
      <c r="G29" s="53"/>
      <c r="H29" s="55" cm="1">
        <f t="array" ref="H29">SUMPRODUCT(TRACKING[Amount],(TRACKING[Date]&lt;=TRACKING[[#This Row],[Date]])*1)</f>
        <v>8070</v>
      </c>
      <c r="I29" s="76">
        <f>IF(AND(TRACKING[[#This Row],[Type]]="INCOME",shift_late_income_status_2="Active",DAY(TRACKING[[#This Row],[Date]])&gt;=Shift_late_income_starting_day), DATE(YEAR(TRACKING[[#This Row],[Date]]),MONTH(TRACKING[[#This Row],[Date]])+1,1),TRACKING[[#This Row],[Date]])</f>
        <v>44585</v>
      </c>
    </row>
    <row r="30" spans="3:9" x14ac:dyDescent="0.25">
      <c r="C30" s="51">
        <v>44586</v>
      </c>
      <c r="D30" s="50" t="s">
        <v>3</v>
      </c>
      <c r="E30" s="50" t="s">
        <v>35</v>
      </c>
      <c r="F30" s="52">
        <v>3500</v>
      </c>
      <c r="G30" s="53"/>
      <c r="H30" s="55" cm="1">
        <f t="array" ref="H30">SUMPRODUCT(TRACKING[Amount],(TRACKING[Date]&lt;=TRACKING[[#This Row],[Date]])*1)</f>
        <v>11570</v>
      </c>
      <c r="I30" s="76">
        <f>IF(AND(TRACKING[[#This Row],[Type]]="INCOME",shift_late_income_status_2="Active",DAY(TRACKING[[#This Row],[Date]])&gt;=Shift_late_income_starting_day), DATE(YEAR(TRACKING[[#This Row],[Date]]),MONTH(TRACKING[[#This Row],[Date]])+1,1),TRACKING[[#This Row],[Date]])</f>
        <v>44593</v>
      </c>
    </row>
    <row r="31" spans="3:9" x14ac:dyDescent="0.25">
      <c r="C31" s="51">
        <v>44587</v>
      </c>
      <c r="D31" s="50" t="s">
        <v>9</v>
      </c>
      <c r="E31" s="50" t="s">
        <v>12</v>
      </c>
      <c r="F31" s="52">
        <v>120</v>
      </c>
      <c r="G31" s="53"/>
      <c r="H31" s="55" cm="1">
        <f t="array" ref="H31">SUMPRODUCT(TRACKING[Amount],(TRACKING[Date]&lt;=TRACKING[[#This Row],[Date]])*1)</f>
        <v>11690</v>
      </c>
      <c r="I31" s="76">
        <f>IF(AND(TRACKING[[#This Row],[Type]]="INCOME",shift_late_income_status_2="Active",DAY(TRACKING[[#This Row],[Date]])&gt;=Shift_late_income_starting_day), DATE(YEAR(TRACKING[[#This Row],[Date]]),MONTH(TRACKING[[#This Row],[Date]])+1,1),TRACKING[[#This Row],[Date]])</f>
        <v>44587</v>
      </c>
    </row>
    <row r="32" spans="3:9" x14ac:dyDescent="0.25">
      <c r="C32" s="51">
        <v>44589</v>
      </c>
      <c r="D32" s="50" t="s">
        <v>9</v>
      </c>
      <c r="E32" s="50" t="s">
        <v>71</v>
      </c>
      <c r="F32" s="52">
        <v>110</v>
      </c>
      <c r="G32" s="53"/>
      <c r="H32" s="55" cm="1">
        <f t="array" ref="H32">SUMPRODUCT(TRACKING[Amount],(TRACKING[Date]&lt;=TRACKING[[#This Row],[Date]])*1)</f>
        <v>11800</v>
      </c>
      <c r="I32" s="76">
        <f>IF(AND(TRACKING[[#This Row],[Type]]="INCOME",shift_late_income_status_2="Active",DAY(TRACKING[[#This Row],[Date]])&gt;=Shift_late_income_starting_day), DATE(YEAR(TRACKING[[#This Row],[Date]]),MONTH(TRACKING[[#This Row],[Date]])+1,1),TRACKING[[#This Row],[Date]])</f>
        <v>44589</v>
      </c>
    </row>
    <row r="33" spans="3:9" x14ac:dyDescent="0.25">
      <c r="C33" s="51">
        <v>44592</v>
      </c>
      <c r="D33" s="50" t="s">
        <v>13</v>
      </c>
      <c r="E33" s="50" t="s">
        <v>23</v>
      </c>
      <c r="F33" s="52">
        <v>400</v>
      </c>
      <c r="G33" s="53"/>
      <c r="H33" s="55" cm="1">
        <f t="array" ref="H33">SUMPRODUCT(TRACKING[Amount],(TRACKING[Date]&lt;=TRACKING[[#This Row],[Date]])*1)</f>
        <v>12850</v>
      </c>
      <c r="I33" s="76">
        <f>IF(AND(TRACKING[[#This Row],[Type]]="INCOME",shift_late_income_status_2="Active",DAY(TRACKING[[#This Row],[Date]])&gt;=Shift_late_income_starting_day), DATE(YEAR(TRACKING[[#This Row],[Date]]),MONTH(TRACKING[[#This Row],[Date]])+1,1),TRACKING[[#This Row],[Date]])</f>
        <v>44592</v>
      </c>
    </row>
    <row r="34" spans="3:9" x14ac:dyDescent="0.25">
      <c r="C34" s="51">
        <v>44592</v>
      </c>
      <c r="D34" s="50" t="s">
        <v>13</v>
      </c>
      <c r="E34" s="50" t="s">
        <v>24</v>
      </c>
      <c r="F34" s="52">
        <v>250</v>
      </c>
      <c r="G34" s="53"/>
      <c r="H34" s="55" cm="1">
        <f t="array" ref="H34">SUMPRODUCT(TRACKING[Amount],(TRACKING[Date]&lt;=TRACKING[[#This Row],[Date]])*1)</f>
        <v>12850</v>
      </c>
      <c r="I34" s="76">
        <f>IF(AND(TRACKING[[#This Row],[Type]]="INCOME",shift_late_income_status_2="Active",DAY(TRACKING[[#This Row],[Date]])&gt;=Shift_late_income_starting_day), DATE(YEAR(TRACKING[[#This Row],[Date]]),MONTH(TRACKING[[#This Row],[Date]])+1,1),TRACKING[[#This Row],[Date]])</f>
        <v>44592</v>
      </c>
    </row>
    <row r="35" spans="3:9" x14ac:dyDescent="0.25">
      <c r="C35" s="51">
        <v>44592</v>
      </c>
      <c r="D35" s="50" t="s">
        <v>13</v>
      </c>
      <c r="E35" s="50" t="s">
        <v>26</v>
      </c>
      <c r="F35" s="52">
        <v>400</v>
      </c>
      <c r="G35" s="53"/>
      <c r="H35" s="55" cm="1">
        <f t="array" ref="H35">SUMPRODUCT(TRACKING[Amount],(TRACKING[Date]&lt;=TRACKING[[#This Row],[Date]])*1)</f>
        <v>12850</v>
      </c>
      <c r="I35" s="76">
        <f>IF(AND(TRACKING[[#This Row],[Type]]="INCOME",shift_late_income_status_2="Active",DAY(TRACKING[[#This Row],[Date]])&gt;=Shift_late_income_starting_day), DATE(YEAR(TRACKING[[#This Row],[Date]]),MONTH(TRACKING[[#This Row],[Date]])+1,1),TRACKING[[#This Row],[Date]])</f>
        <v>44592</v>
      </c>
    </row>
    <row r="36" spans="3:9" x14ac:dyDescent="0.25">
      <c r="C36" s="51">
        <v>44593</v>
      </c>
      <c r="D36" s="50" t="s">
        <v>9</v>
      </c>
      <c r="E36" s="50" t="s">
        <v>10</v>
      </c>
      <c r="F36" s="52">
        <v>1200</v>
      </c>
      <c r="G36" s="53"/>
      <c r="H36" s="55" cm="1">
        <f t="array" ref="H36">SUMPRODUCT(TRACKING[Amount],(TRACKING[Date]&lt;=TRACKING[[#This Row],[Date]])*1)</f>
        <v>14050</v>
      </c>
      <c r="I36" s="76">
        <f>IF(AND(TRACKING[[#This Row],[Type]]="INCOME",shift_late_income_status_2="Active",DAY(TRACKING[[#This Row],[Date]])&gt;=Shift_late_income_starting_day), DATE(YEAR(TRACKING[[#This Row],[Date]]),MONTH(TRACKING[[#This Row],[Date]])+1,1),TRACKING[[#This Row],[Date]])</f>
        <v>44593</v>
      </c>
    </row>
    <row r="37" spans="3:9" x14ac:dyDescent="0.25">
      <c r="C37" s="51">
        <v>44594</v>
      </c>
      <c r="D37" s="50" t="s">
        <v>9</v>
      </c>
      <c r="E37" s="50" t="s">
        <v>11</v>
      </c>
      <c r="F37" s="52">
        <v>300</v>
      </c>
      <c r="G37" s="53"/>
      <c r="H37" s="55" cm="1">
        <f t="array" ref="H37">SUMPRODUCT(TRACKING[Amount],(TRACKING[Date]&lt;=TRACKING[[#This Row],[Date]])*1)</f>
        <v>14350</v>
      </c>
      <c r="I37" s="76">
        <f>IF(AND(TRACKING[[#This Row],[Type]]="INCOME",shift_late_income_status_2="Active",DAY(TRACKING[[#This Row],[Date]])&gt;=Shift_late_income_starting_day), DATE(YEAR(TRACKING[[#This Row],[Date]]),MONTH(TRACKING[[#This Row],[Date]])+1,1),TRACKING[[#This Row],[Date]])</f>
        <v>44594</v>
      </c>
    </row>
    <row r="38" spans="3:9" x14ac:dyDescent="0.25">
      <c r="C38" s="51">
        <v>44597</v>
      </c>
      <c r="D38" s="50" t="s">
        <v>3</v>
      </c>
      <c r="E38" s="50" t="s">
        <v>7</v>
      </c>
      <c r="F38" s="52">
        <v>500</v>
      </c>
      <c r="G38" s="53"/>
      <c r="H38" s="55" cm="1">
        <f t="array" ref="H38">SUMPRODUCT(TRACKING[Amount],(TRACKING[Date]&lt;=TRACKING[[#This Row],[Date]])*1)</f>
        <v>14850</v>
      </c>
      <c r="I38" s="76">
        <f>IF(AND(TRACKING[[#This Row],[Type]]="INCOME",shift_late_income_status_2="Active",DAY(TRACKING[[#This Row],[Date]])&gt;=Shift_late_income_starting_day), DATE(YEAR(TRACKING[[#This Row],[Date]]),MONTH(TRACKING[[#This Row],[Date]])+1,1),TRACKING[[#This Row],[Date]])</f>
        <v>44597</v>
      </c>
    </row>
    <row r="39" spans="3:9" x14ac:dyDescent="0.25">
      <c r="C39" s="51">
        <v>44599</v>
      </c>
      <c r="D39" s="50" t="s">
        <v>9</v>
      </c>
      <c r="E39" s="50" t="s">
        <v>12</v>
      </c>
      <c r="F39" s="52">
        <v>200</v>
      </c>
      <c r="G39" s="53"/>
      <c r="H39" s="55" cm="1">
        <f t="array" ref="H39">SUMPRODUCT(TRACKING[Amount],(TRACKING[Date]&lt;=TRACKING[[#This Row],[Date]])*1)</f>
        <v>15050</v>
      </c>
      <c r="I39" s="76">
        <f>IF(AND(TRACKING[[#This Row],[Type]]="INCOME",shift_late_income_status_2="Active",DAY(TRACKING[[#This Row],[Date]])&gt;=Shift_late_income_starting_day), DATE(YEAR(TRACKING[[#This Row],[Date]]),MONTH(TRACKING[[#This Row],[Date]])+1,1),TRACKING[[#This Row],[Date]])</f>
        <v>44599</v>
      </c>
    </row>
    <row r="40" spans="3:9" x14ac:dyDescent="0.25">
      <c r="C40" s="51">
        <v>44601</v>
      </c>
      <c r="D40" s="50" t="s">
        <v>13</v>
      </c>
      <c r="E40" s="50" t="s">
        <v>24</v>
      </c>
      <c r="F40" s="52">
        <v>500</v>
      </c>
      <c r="G40" s="53"/>
      <c r="H40" s="55" cm="1">
        <f t="array" ref="H40">SUMPRODUCT(TRACKING[Amount],(TRACKING[Date]&lt;=TRACKING[[#This Row],[Date]])*1)</f>
        <v>15550</v>
      </c>
      <c r="I40" s="76">
        <f>IF(AND(TRACKING[[#This Row],[Type]]="INCOME",shift_late_income_status_2="Active",DAY(TRACKING[[#This Row],[Date]])&gt;=Shift_late_income_starting_day), DATE(YEAR(TRACKING[[#This Row],[Date]]),MONTH(TRACKING[[#This Row],[Date]])+1,1),TRACKING[[#This Row],[Date]])</f>
        <v>44601</v>
      </c>
    </row>
    <row r="41" spans="3:9" x14ac:dyDescent="0.25">
      <c r="C41" s="51">
        <v>44602</v>
      </c>
      <c r="D41" s="50" t="s">
        <v>9</v>
      </c>
      <c r="E41" s="50" t="s">
        <v>18</v>
      </c>
      <c r="F41" s="52">
        <v>60</v>
      </c>
      <c r="G41" s="53"/>
      <c r="H41" s="55" cm="1">
        <f t="array" ref="H41">SUMPRODUCT(TRACKING[Amount],(TRACKING[Date]&lt;=TRACKING[[#This Row],[Date]])*1)</f>
        <v>15610</v>
      </c>
      <c r="I41" s="76">
        <f>IF(AND(TRACKING[[#This Row],[Type]]="INCOME",shift_late_income_status_2="Active",DAY(TRACKING[[#This Row],[Date]])&gt;=Shift_late_income_starting_day), DATE(YEAR(TRACKING[[#This Row],[Date]]),MONTH(TRACKING[[#This Row],[Date]])+1,1),TRACKING[[#This Row],[Date]])</f>
        <v>44602</v>
      </c>
    </row>
    <row r="42" spans="3:9" x14ac:dyDescent="0.25">
      <c r="C42" s="51">
        <v>44603</v>
      </c>
      <c r="D42" s="50" t="s">
        <v>9</v>
      </c>
      <c r="E42" s="50" t="s">
        <v>70</v>
      </c>
      <c r="F42" s="52">
        <v>70</v>
      </c>
      <c r="G42" s="53"/>
      <c r="H42" s="55" cm="1">
        <f t="array" ref="H42">SUMPRODUCT(TRACKING[Amount],(TRACKING[Date]&lt;=TRACKING[[#This Row],[Date]])*1)</f>
        <v>15680</v>
      </c>
      <c r="I42" s="76">
        <f>IF(AND(TRACKING[[#This Row],[Type]]="INCOME",shift_late_income_status_2="Active",DAY(TRACKING[[#This Row],[Date]])&gt;=Shift_late_income_starting_day), DATE(YEAR(TRACKING[[#This Row],[Date]]),MONTH(TRACKING[[#This Row],[Date]])+1,1),TRACKING[[#This Row],[Date]])</f>
        <v>44603</v>
      </c>
    </row>
    <row r="43" spans="3:9" x14ac:dyDescent="0.25">
      <c r="C43" s="51">
        <v>44605</v>
      </c>
      <c r="D43" s="50" t="s">
        <v>9</v>
      </c>
      <c r="E43" s="50" t="s">
        <v>71</v>
      </c>
      <c r="F43" s="52">
        <v>140</v>
      </c>
      <c r="G43" s="53"/>
      <c r="H43" s="55" cm="1">
        <f t="array" ref="H43">SUMPRODUCT(TRACKING[Amount],(TRACKING[Date]&lt;=TRACKING[[#This Row],[Date]])*1)</f>
        <v>15820</v>
      </c>
      <c r="I43" s="76">
        <f>IF(AND(TRACKING[[#This Row],[Type]]="INCOME",shift_late_income_status_2="Active",DAY(TRACKING[[#This Row],[Date]])&gt;=Shift_late_income_starting_day), DATE(YEAR(TRACKING[[#This Row],[Date]]),MONTH(TRACKING[[#This Row],[Date]])+1,1),TRACKING[[#This Row],[Date]])</f>
        <v>44605</v>
      </c>
    </row>
    <row r="44" spans="3:9" x14ac:dyDescent="0.25">
      <c r="C44" s="51">
        <v>44606</v>
      </c>
      <c r="D44" s="50" t="s">
        <v>9</v>
      </c>
      <c r="E44" s="50" t="s">
        <v>12</v>
      </c>
      <c r="F44" s="52">
        <v>80</v>
      </c>
      <c r="G44" s="53"/>
      <c r="H44" s="55" cm="1">
        <f t="array" ref="H44">SUMPRODUCT(TRACKING[Amount],(TRACKING[Date]&lt;=TRACKING[[#This Row],[Date]])*1)</f>
        <v>15900</v>
      </c>
      <c r="I44" s="76">
        <f>IF(AND(TRACKING[[#This Row],[Type]]="INCOME",shift_late_income_status_2="Active",DAY(TRACKING[[#This Row],[Date]])&gt;=Shift_late_income_starting_day), DATE(YEAR(TRACKING[[#This Row],[Date]]),MONTH(TRACKING[[#This Row],[Date]])+1,1),TRACKING[[#This Row],[Date]])</f>
        <v>44606</v>
      </c>
    </row>
    <row r="45" spans="3:9" x14ac:dyDescent="0.25">
      <c r="C45" s="51">
        <v>44607</v>
      </c>
      <c r="D45" s="50" t="s">
        <v>3</v>
      </c>
      <c r="E45" s="50" t="s">
        <v>8</v>
      </c>
      <c r="F45" s="52">
        <v>50</v>
      </c>
      <c r="G45" s="53"/>
      <c r="H45" s="55" cm="1">
        <f t="array" ref="H45">SUMPRODUCT(TRACKING[Amount],(TRACKING[Date]&lt;=TRACKING[[#This Row],[Date]])*1)</f>
        <v>15950</v>
      </c>
      <c r="I45" s="76">
        <f>IF(AND(TRACKING[[#This Row],[Type]]="INCOME",shift_late_income_status_2="Active",DAY(TRACKING[[#This Row],[Date]])&gt;=Shift_late_income_starting_day), DATE(YEAR(TRACKING[[#This Row],[Date]]),MONTH(TRACKING[[#This Row],[Date]])+1,1),TRACKING[[#This Row],[Date]])</f>
        <v>44607</v>
      </c>
    </row>
    <row r="46" spans="3:9" x14ac:dyDescent="0.25">
      <c r="C46" s="51">
        <v>44608</v>
      </c>
      <c r="D46" s="50" t="s">
        <v>9</v>
      </c>
      <c r="E46" s="50" t="s">
        <v>20</v>
      </c>
      <c r="F46" s="52">
        <v>70</v>
      </c>
      <c r="G46" s="53"/>
      <c r="H46" s="55" cm="1">
        <f t="array" ref="H46">SUMPRODUCT(TRACKING[Amount],(TRACKING[Date]&lt;=TRACKING[[#This Row],[Date]])*1)</f>
        <v>16020</v>
      </c>
      <c r="I46" s="76">
        <f>IF(AND(TRACKING[[#This Row],[Type]]="INCOME",shift_late_income_status_2="Active",DAY(TRACKING[[#This Row],[Date]])&gt;=Shift_late_income_starting_day), DATE(YEAR(TRACKING[[#This Row],[Date]]),MONTH(TRACKING[[#This Row],[Date]])+1,1),TRACKING[[#This Row],[Date]])</f>
        <v>44608</v>
      </c>
    </row>
    <row r="47" spans="3:9" x14ac:dyDescent="0.25">
      <c r="C47" s="51">
        <v>44609</v>
      </c>
      <c r="D47" s="50" t="s">
        <v>9</v>
      </c>
      <c r="E47" s="50" t="s">
        <v>16</v>
      </c>
      <c r="F47" s="52">
        <v>150</v>
      </c>
      <c r="G47" s="53"/>
      <c r="H47" s="55" cm="1">
        <f t="array" ref="H47">SUMPRODUCT(TRACKING[Amount],(TRACKING[Date]&lt;=TRACKING[[#This Row],[Date]])*1)</f>
        <v>16170</v>
      </c>
      <c r="I47" s="76">
        <f>IF(AND(TRACKING[[#This Row],[Type]]="INCOME",shift_late_income_status_2="Active",DAY(TRACKING[[#This Row],[Date]])&gt;=Shift_late_income_starting_day), DATE(YEAR(TRACKING[[#This Row],[Date]]),MONTH(TRACKING[[#This Row],[Date]])+1,1),TRACKING[[#This Row],[Date]])</f>
        <v>44609</v>
      </c>
    </row>
    <row r="48" spans="3:9" x14ac:dyDescent="0.25">
      <c r="C48" s="51">
        <v>44610</v>
      </c>
      <c r="D48" s="50" t="s">
        <v>9</v>
      </c>
      <c r="E48" s="50" t="s">
        <v>71</v>
      </c>
      <c r="F48" s="52">
        <v>60</v>
      </c>
      <c r="G48" s="53"/>
      <c r="H48" s="55" cm="1">
        <f t="array" ref="H48">SUMPRODUCT(TRACKING[Amount],(TRACKING[Date]&lt;=TRACKING[[#This Row],[Date]])*1)</f>
        <v>16230</v>
      </c>
      <c r="I48" s="76">
        <f>IF(AND(TRACKING[[#This Row],[Type]]="INCOME",shift_late_income_status_2="Active",DAY(TRACKING[[#This Row],[Date]])&gt;=Shift_late_income_starting_day), DATE(YEAR(TRACKING[[#This Row],[Date]]),MONTH(TRACKING[[#This Row],[Date]])+1,1),TRACKING[[#This Row],[Date]])</f>
        <v>44610</v>
      </c>
    </row>
    <row r="49" spans="3:9" x14ac:dyDescent="0.25">
      <c r="C49" s="51">
        <v>44612</v>
      </c>
      <c r="D49" s="50" t="s">
        <v>9</v>
      </c>
      <c r="E49" s="50" t="s">
        <v>70</v>
      </c>
      <c r="F49" s="52">
        <v>140</v>
      </c>
      <c r="G49" s="53"/>
      <c r="H49" s="55" cm="1">
        <f t="array" ref="H49">SUMPRODUCT(TRACKING[Amount],(TRACKING[Date]&lt;=TRACKING[[#This Row],[Date]])*1)</f>
        <v>16370</v>
      </c>
      <c r="I49" s="76">
        <f>IF(AND(TRACKING[[#This Row],[Type]]="INCOME",shift_late_income_status_2="Active",DAY(TRACKING[[#This Row],[Date]])&gt;=Shift_late_income_starting_day), DATE(YEAR(TRACKING[[#This Row],[Date]]),MONTH(TRACKING[[#This Row],[Date]])+1,1),TRACKING[[#This Row],[Date]])</f>
        <v>44612</v>
      </c>
    </row>
    <row r="50" spans="3:9" x14ac:dyDescent="0.25">
      <c r="C50" s="51">
        <v>44614</v>
      </c>
      <c r="D50" s="50" t="s">
        <v>9</v>
      </c>
      <c r="E50" s="50" t="s">
        <v>18</v>
      </c>
      <c r="F50" s="52">
        <v>80</v>
      </c>
      <c r="G50" s="53"/>
      <c r="H50" s="55" cm="1">
        <f t="array" ref="H50">SUMPRODUCT(TRACKING[Amount],(TRACKING[Date]&lt;=TRACKING[[#This Row],[Date]])*1)</f>
        <v>16450</v>
      </c>
      <c r="I50" s="76">
        <f>IF(AND(TRACKING[[#This Row],[Type]]="INCOME",shift_late_income_status_2="Active",DAY(TRACKING[[#This Row],[Date]])&gt;=Shift_late_income_starting_day), DATE(YEAR(TRACKING[[#This Row],[Date]]),MONTH(TRACKING[[#This Row],[Date]])+1,1),TRACKING[[#This Row],[Date]])</f>
        <v>44614</v>
      </c>
    </row>
    <row r="51" spans="3:9" x14ac:dyDescent="0.25">
      <c r="C51" s="51">
        <v>44616</v>
      </c>
      <c r="D51" s="50" t="s">
        <v>9</v>
      </c>
      <c r="E51" s="50" t="s">
        <v>12</v>
      </c>
      <c r="F51" s="52">
        <v>120</v>
      </c>
      <c r="G51" s="53"/>
      <c r="H51" s="55" cm="1">
        <f t="array" ref="H51">SUMPRODUCT(TRACKING[Amount],(TRACKING[Date]&lt;=TRACKING[[#This Row],[Date]])*1)</f>
        <v>16570</v>
      </c>
      <c r="I51" s="76">
        <f>IF(AND(TRACKING[[#This Row],[Type]]="INCOME",shift_late_income_status_2="Active",DAY(TRACKING[[#This Row],[Date]])&gt;=Shift_late_income_starting_day), DATE(YEAR(TRACKING[[#This Row],[Date]]),MONTH(TRACKING[[#This Row],[Date]])+1,1),TRACKING[[#This Row],[Date]])</f>
        <v>44616</v>
      </c>
    </row>
    <row r="52" spans="3:9" x14ac:dyDescent="0.25">
      <c r="C52" s="51">
        <v>44617</v>
      </c>
      <c r="D52" s="50" t="s">
        <v>9</v>
      </c>
      <c r="E52" s="50" t="s">
        <v>16</v>
      </c>
      <c r="F52" s="52">
        <v>130</v>
      </c>
      <c r="G52" s="53"/>
      <c r="H52" s="55" cm="1">
        <f t="array" ref="H52">SUMPRODUCT(TRACKING[Amount],(TRACKING[Date]&lt;=TRACKING[[#This Row],[Date]])*1)</f>
        <v>20200</v>
      </c>
      <c r="I52" s="76">
        <f>IF(AND(TRACKING[[#This Row],[Type]]="INCOME",shift_late_income_status_2="Active",DAY(TRACKING[[#This Row],[Date]])&gt;=Shift_late_income_starting_day), DATE(YEAR(TRACKING[[#This Row],[Date]]),MONTH(TRACKING[[#This Row],[Date]])+1,1),TRACKING[[#This Row],[Date]])</f>
        <v>44617</v>
      </c>
    </row>
    <row r="53" spans="3:9" x14ac:dyDescent="0.25">
      <c r="C53" s="51">
        <v>44617</v>
      </c>
      <c r="D53" s="50" t="s">
        <v>3</v>
      </c>
      <c r="E53" s="50" t="s">
        <v>35</v>
      </c>
      <c r="F53" s="52">
        <v>3500</v>
      </c>
      <c r="G53" s="53"/>
      <c r="H53" s="55" cm="1">
        <f t="array" ref="H53">SUMPRODUCT(TRACKING[Amount],(TRACKING[Date]&lt;=TRACKING[[#This Row],[Date]])*1)</f>
        <v>20200</v>
      </c>
      <c r="I53" s="76">
        <f>IF(AND(TRACKING[[#This Row],[Type]]="INCOME",shift_late_income_status_2="Active",DAY(TRACKING[[#This Row],[Date]])&gt;=Shift_late_income_starting_day), DATE(YEAR(TRACKING[[#This Row],[Date]]),MONTH(TRACKING[[#This Row],[Date]])+1,1),TRACKING[[#This Row],[Date]])</f>
        <v>44621</v>
      </c>
    </row>
    <row r="54" spans="3:9" x14ac:dyDescent="0.25">
      <c r="C54" s="51">
        <v>44618</v>
      </c>
      <c r="D54" s="50" t="s">
        <v>9</v>
      </c>
      <c r="E54" s="50" t="s">
        <v>71</v>
      </c>
      <c r="F54" s="52">
        <v>50</v>
      </c>
      <c r="G54" s="53"/>
      <c r="H54" s="55" cm="1">
        <f t="array" ref="H54">SUMPRODUCT(TRACKING[Amount],(TRACKING[Date]&lt;=TRACKING[[#This Row],[Date]])*1)</f>
        <v>20250</v>
      </c>
      <c r="I54" s="76">
        <f>IF(AND(TRACKING[[#This Row],[Type]]="INCOME",shift_late_income_status_2="Active",DAY(TRACKING[[#This Row],[Date]])&gt;=Shift_late_income_starting_day), DATE(YEAR(TRACKING[[#This Row],[Date]]),MONTH(TRACKING[[#This Row],[Date]])+1,1),TRACKING[[#This Row],[Date]])</f>
        <v>44618</v>
      </c>
    </row>
    <row r="55" spans="3:9" x14ac:dyDescent="0.25">
      <c r="C55" s="51">
        <v>44619</v>
      </c>
      <c r="D55" s="50" t="s">
        <v>9</v>
      </c>
      <c r="E55" s="50" t="s">
        <v>70</v>
      </c>
      <c r="F55" s="52">
        <v>60</v>
      </c>
      <c r="G55" s="53"/>
      <c r="H55" s="55" cm="1">
        <f t="array" ref="H55">SUMPRODUCT(TRACKING[Amount],(TRACKING[Date]&lt;=TRACKING[[#This Row],[Date]])*1)</f>
        <v>20310</v>
      </c>
      <c r="I55" s="76">
        <f>IF(AND(TRACKING[[#This Row],[Type]]="INCOME",shift_late_income_status_2="Active",DAY(TRACKING[[#This Row],[Date]])&gt;=Shift_late_income_starting_day), DATE(YEAR(TRACKING[[#This Row],[Date]]),MONTH(TRACKING[[#This Row],[Date]])+1,1),TRACKING[[#This Row],[Date]])</f>
        <v>44619</v>
      </c>
    </row>
    <row r="56" spans="3:9" x14ac:dyDescent="0.25">
      <c r="C56" s="51">
        <v>44620</v>
      </c>
      <c r="D56" s="50" t="s">
        <v>13</v>
      </c>
      <c r="E56" s="50" t="s">
        <v>23</v>
      </c>
      <c r="F56" s="52">
        <v>400</v>
      </c>
      <c r="G56" s="53"/>
      <c r="H56" s="55" cm="1">
        <f t="array" ref="H56">SUMPRODUCT(TRACKING[Amount],(TRACKING[Date]&lt;=TRACKING[[#This Row],[Date]])*1)</f>
        <v>20850</v>
      </c>
      <c r="I56" s="76">
        <f>IF(AND(TRACKING[[#This Row],[Type]]="INCOME",shift_late_income_status_2="Active",DAY(TRACKING[[#This Row],[Date]])&gt;=Shift_late_income_starting_day), DATE(YEAR(TRACKING[[#This Row],[Date]]),MONTH(TRACKING[[#This Row],[Date]])+1,1),TRACKING[[#This Row],[Date]])</f>
        <v>44620</v>
      </c>
    </row>
    <row r="57" spans="3:9" x14ac:dyDescent="0.25">
      <c r="C57" s="51">
        <v>44620</v>
      </c>
      <c r="D57" s="50" t="s">
        <v>13</v>
      </c>
      <c r="E57" s="50" t="s">
        <v>22</v>
      </c>
      <c r="F57" s="52">
        <v>140</v>
      </c>
      <c r="G57" s="53"/>
      <c r="H57" s="55" cm="1">
        <f t="array" ref="H57">SUMPRODUCT(TRACKING[Amount],(TRACKING[Date]&lt;=TRACKING[[#This Row],[Date]])*1)</f>
        <v>20850</v>
      </c>
      <c r="I57" s="76">
        <f>IF(AND(TRACKING[[#This Row],[Type]]="INCOME",shift_late_income_status_2="Active",DAY(TRACKING[[#This Row],[Date]])&gt;=Shift_late_income_starting_day), DATE(YEAR(TRACKING[[#This Row],[Date]]),MONTH(TRACKING[[#This Row],[Date]])+1,1),TRACKING[[#This Row],[Date]])</f>
        <v>44620</v>
      </c>
    </row>
    <row r="58" spans="3:9" x14ac:dyDescent="0.25">
      <c r="C58" s="51">
        <v>44621</v>
      </c>
      <c r="D58" s="50" t="s">
        <v>9</v>
      </c>
      <c r="E58" s="50" t="s">
        <v>18</v>
      </c>
      <c r="F58" s="52">
        <v>150</v>
      </c>
      <c r="G58" s="53"/>
      <c r="H58" s="55" cm="1">
        <f t="array" ref="H58">SUMPRODUCT(TRACKING[Amount],(TRACKING[Date]&lt;=TRACKING[[#This Row],[Date]])*1)</f>
        <v>22200</v>
      </c>
      <c r="I58" s="76">
        <f>IF(AND(TRACKING[[#This Row],[Type]]="INCOME",shift_late_income_status_2="Active",DAY(TRACKING[[#This Row],[Date]])&gt;=Shift_late_income_starting_day), DATE(YEAR(TRACKING[[#This Row],[Date]]),MONTH(TRACKING[[#This Row],[Date]])+1,1),TRACKING[[#This Row],[Date]])</f>
        <v>44621</v>
      </c>
    </row>
    <row r="59" spans="3:9" x14ac:dyDescent="0.25">
      <c r="C59" s="51">
        <v>44621</v>
      </c>
      <c r="D59" s="50" t="s">
        <v>9</v>
      </c>
      <c r="E59" s="50" t="s">
        <v>10</v>
      </c>
      <c r="F59" s="52">
        <v>1200</v>
      </c>
      <c r="G59" s="53"/>
      <c r="H59" s="55" cm="1">
        <f t="array" ref="H59">SUMPRODUCT(TRACKING[Amount],(TRACKING[Date]&lt;=TRACKING[[#This Row],[Date]])*1)</f>
        <v>22200</v>
      </c>
      <c r="I59" s="76">
        <f>IF(AND(TRACKING[[#This Row],[Type]]="INCOME",shift_late_income_status_2="Active",DAY(TRACKING[[#This Row],[Date]])&gt;=Shift_late_income_starting_day), DATE(YEAR(TRACKING[[#This Row],[Date]]),MONTH(TRACKING[[#This Row],[Date]])+1,1),TRACKING[[#This Row],[Date]])</f>
        <v>44621</v>
      </c>
    </row>
    <row r="60" spans="3:9" x14ac:dyDescent="0.25">
      <c r="C60" s="51">
        <v>44622</v>
      </c>
      <c r="D60" s="50" t="s">
        <v>9</v>
      </c>
      <c r="E60" s="50" t="s">
        <v>11</v>
      </c>
      <c r="F60" s="52">
        <v>300</v>
      </c>
      <c r="G60" s="53"/>
      <c r="H60" s="55" cm="1">
        <f t="array" ref="H60">SUMPRODUCT(TRACKING[Amount],(TRACKING[Date]&lt;=TRACKING[[#This Row],[Date]])*1)</f>
        <v>22500</v>
      </c>
      <c r="I60" s="76">
        <f>IF(AND(TRACKING[[#This Row],[Type]]="INCOME",shift_late_income_status_2="Active",DAY(TRACKING[[#This Row],[Date]])&gt;=Shift_late_income_starting_day), DATE(YEAR(TRACKING[[#This Row],[Date]]),MONTH(TRACKING[[#This Row],[Date]])+1,1),TRACKING[[#This Row],[Date]])</f>
        <v>44622</v>
      </c>
    </row>
    <row r="61" spans="3:9" x14ac:dyDescent="0.25">
      <c r="C61" s="51">
        <v>44623</v>
      </c>
      <c r="D61" s="50" t="s">
        <v>9</v>
      </c>
      <c r="E61" s="50" t="s">
        <v>12</v>
      </c>
      <c r="F61" s="52">
        <v>60</v>
      </c>
      <c r="G61" s="53"/>
      <c r="H61" s="55" cm="1">
        <f t="array" ref="H61">SUMPRODUCT(TRACKING[Amount],(TRACKING[Date]&lt;=TRACKING[[#This Row],[Date]])*1)</f>
        <v>22560</v>
      </c>
      <c r="I61" s="76">
        <f>IF(AND(TRACKING[[#This Row],[Type]]="INCOME",shift_late_income_status_2="Active",DAY(TRACKING[[#This Row],[Date]])&gt;=Shift_late_income_starting_day), DATE(YEAR(TRACKING[[#This Row],[Date]]),MONTH(TRACKING[[#This Row],[Date]])+1,1),TRACKING[[#This Row],[Date]])</f>
        <v>44623</v>
      </c>
    </row>
    <row r="62" spans="3:9" x14ac:dyDescent="0.25">
      <c r="C62" s="51">
        <v>44624</v>
      </c>
      <c r="D62" s="50" t="s">
        <v>9</v>
      </c>
      <c r="E62" s="50" t="s">
        <v>70</v>
      </c>
      <c r="F62" s="52">
        <v>30</v>
      </c>
      <c r="G62" s="53"/>
      <c r="H62" s="55" cm="1">
        <f t="array" ref="H62">SUMPRODUCT(TRACKING[Amount],(TRACKING[Date]&lt;=TRACKING[[#This Row],[Date]])*1)</f>
        <v>22590</v>
      </c>
      <c r="I62" s="76">
        <f>IF(AND(TRACKING[[#This Row],[Type]]="INCOME",shift_late_income_status_2="Active",DAY(TRACKING[[#This Row],[Date]])&gt;=Shift_late_income_starting_day), DATE(YEAR(TRACKING[[#This Row],[Date]]),MONTH(TRACKING[[#This Row],[Date]])+1,1),TRACKING[[#This Row],[Date]])</f>
        <v>44624</v>
      </c>
    </row>
    <row r="63" spans="3:9" x14ac:dyDescent="0.25">
      <c r="C63" s="51">
        <v>44626</v>
      </c>
      <c r="D63" s="50" t="s">
        <v>9</v>
      </c>
      <c r="E63" s="50" t="s">
        <v>17</v>
      </c>
      <c r="F63" s="52">
        <v>150</v>
      </c>
      <c r="G63" s="53"/>
      <c r="H63" s="55" cm="1">
        <f t="array" ref="H63">SUMPRODUCT(TRACKING[Amount],(TRACKING[Date]&lt;=TRACKING[[#This Row],[Date]])*1)</f>
        <v>22740</v>
      </c>
      <c r="I63" s="76">
        <f>IF(AND(TRACKING[[#This Row],[Type]]="INCOME",shift_late_income_status_2="Active",DAY(TRACKING[[#This Row],[Date]])&gt;=Shift_late_income_starting_day), DATE(YEAR(TRACKING[[#This Row],[Date]]),MONTH(TRACKING[[#This Row],[Date]])+1,1),TRACKING[[#This Row],[Date]])</f>
        <v>44626</v>
      </c>
    </row>
    <row r="64" spans="3:9" x14ac:dyDescent="0.25">
      <c r="C64" s="51">
        <v>44627</v>
      </c>
      <c r="D64" s="50" t="s">
        <v>9</v>
      </c>
      <c r="E64" s="50" t="s">
        <v>16</v>
      </c>
      <c r="F64" s="52">
        <v>50</v>
      </c>
      <c r="G64" s="53"/>
      <c r="H64" s="55" cm="1">
        <f t="array" ref="H64">SUMPRODUCT(TRACKING[Amount],(TRACKING[Date]&lt;=TRACKING[[#This Row],[Date]])*1)</f>
        <v>22790</v>
      </c>
      <c r="I64" s="76">
        <f>IF(AND(TRACKING[[#This Row],[Type]]="INCOME",shift_late_income_status_2="Active",DAY(TRACKING[[#This Row],[Date]])&gt;=Shift_late_income_starting_day), DATE(YEAR(TRACKING[[#This Row],[Date]]),MONTH(TRACKING[[#This Row],[Date]])+1,1),TRACKING[[#This Row],[Date]])</f>
        <v>44627</v>
      </c>
    </row>
    <row r="65" spans="3:9" x14ac:dyDescent="0.25">
      <c r="C65" s="51">
        <v>44629</v>
      </c>
      <c r="D65" s="50" t="s">
        <v>9</v>
      </c>
      <c r="E65" s="50" t="s">
        <v>71</v>
      </c>
      <c r="F65" s="52">
        <v>120</v>
      </c>
      <c r="G65" s="53"/>
      <c r="H65" s="55" cm="1">
        <f t="array" ref="H65">SUMPRODUCT(TRACKING[Amount],(TRACKING[Date]&lt;=TRACKING[[#This Row],[Date]])*1)</f>
        <v>22910</v>
      </c>
      <c r="I65" s="76">
        <f>IF(AND(TRACKING[[#This Row],[Type]]="INCOME",shift_late_income_status_2="Active",DAY(TRACKING[[#This Row],[Date]])&gt;=Shift_late_income_starting_day), DATE(YEAR(TRACKING[[#This Row],[Date]]),MONTH(TRACKING[[#This Row],[Date]])+1,1),TRACKING[[#This Row],[Date]])</f>
        <v>44629</v>
      </c>
    </row>
    <row r="66" spans="3:9" x14ac:dyDescent="0.25">
      <c r="C66" s="51">
        <v>44630</v>
      </c>
      <c r="D66" s="50" t="s">
        <v>3</v>
      </c>
      <c r="E66" s="50" t="s">
        <v>8</v>
      </c>
      <c r="F66" s="52">
        <v>100</v>
      </c>
      <c r="G66" s="53"/>
      <c r="H66" s="55" cm="1">
        <f t="array" ref="H66">SUMPRODUCT(TRACKING[Amount],(TRACKING[Date]&lt;=TRACKING[[#This Row],[Date]])*1)</f>
        <v>23010</v>
      </c>
      <c r="I66" s="76">
        <f>IF(AND(TRACKING[[#This Row],[Type]]="INCOME",shift_late_income_status_2="Active",DAY(TRACKING[[#This Row],[Date]])&gt;=Shift_late_income_starting_day), DATE(YEAR(TRACKING[[#This Row],[Date]]),MONTH(TRACKING[[#This Row],[Date]])+1,1),TRACKING[[#This Row],[Date]])</f>
        <v>44630</v>
      </c>
    </row>
    <row r="67" spans="3:9" x14ac:dyDescent="0.25">
      <c r="C67" s="51">
        <v>44632</v>
      </c>
      <c r="D67" s="50" t="s">
        <v>9</v>
      </c>
      <c r="E67" s="50" t="s">
        <v>20</v>
      </c>
      <c r="F67" s="52">
        <v>50</v>
      </c>
      <c r="G67" s="53"/>
      <c r="H67" s="55" cm="1">
        <f t="array" ref="H67">SUMPRODUCT(TRACKING[Amount],(TRACKING[Date]&lt;=TRACKING[[#This Row],[Date]])*1)</f>
        <v>23060</v>
      </c>
      <c r="I67" s="76">
        <f>IF(AND(TRACKING[[#This Row],[Type]]="INCOME",shift_late_income_status_2="Active",DAY(TRACKING[[#This Row],[Date]])&gt;=Shift_late_income_starting_day), DATE(YEAR(TRACKING[[#This Row],[Date]]),MONTH(TRACKING[[#This Row],[Date]])+1,1),TRACKING[[#This Row],[Date]])</f>
        <v>44632</v>
      </c>
    </row>
    <row r="68" spans="3:9" x14ac:dyDescent="0.25">
      <c r="C68" s="51">
        <v>44633</v>
      </c>
      <c r="D68" s="50" t="s">
        <v>9</v>
      </c>
      <c r="E68" s="50" t="s">
        <v>12</v>
      </c>
      <c r="F68" s="52">
        <v>120</v>
      </c>
      <c r="G68" s="53"/>
      <c r="H68" s="55" cm="1">
        <f t="array" ref="H68">SUMPRODUCT(TRACKING[Amount],(TRACKING[Date]&lt;=TRACKING[[#This Row],[Date]])*1)</f>
        <v>23180</v>
      </c>
      <c r="I68" s="76">
        <f>IF(AND(TRACKING[[#This Row],[Type]]="INCOME",shift_late_income_status_2="Active",DAY(TRACKING[[#This Row],[Date]])&gt;=Shift_late_income_starting_day), DATE(YEAR(TRACKING[[#This Row],[Date]]),MONTH(TRACKING[[#This Row],[Date]])+1,1),TRACKING[[#This Row],[Date]])</f>
        <v>44633</v>
      </c>
    </row>
    <row r="69" spans="3:9" x14ac:dyDescent="0.25">
      <c r="C69" s="51">
        <v>44635</v>
      </c>
      <c r="D69" s="50" t="s">
        <v>3</v>
      </c>
      <c r="E69" s="50" t="s">
        <v>7</v>
      </c>
      <c r="F69" s="52">
        <v>1100</v>
      </c>
      <c r="G69" s="53"/>
      <c r="H69" s="55" cm="1">
        <f t="array" ref="H69">SUMPRODUCT(TRACKING[Amount],(TRACKING[Date]&lt;=TRACKING[[#This Row],[Date]])*1)</f>
        <v>24280</v>
      </c>
      <c r="I69" s="76">
        <f>IF(AND(TRACKING[[#This Row],[Type]]="INCOME",shift_late_income_status_2="Active",DAY(TRACKING[[#This Row],[Date]])&gt;=Shift_late_income_starting_day), DATE(YEAR(TRACKING[[#This Row],[Date]]),MONTH(TRACKING[[#This Row],[Date]])+1,1),TRACKING[[#This Row],[Date]])</f>
        <v>44635</v>
      </c>
    </row>
  </sheetData>
  <mergeCells count="1">
    <mergeCell ref="A1:Z3"/>
  </mergeCells>
  <dataValidations count="3">
    <dataValidation type="date" operator="greaterThan" allowBlank="1" showInputMessage="1" showErrorMessage="1" errorTitle="Invalid data" error="Please enter a valid date" sqref="C12:C69" xr:uid="{353154C3-0AE5-434C-9DD3-7806D2156535}">
      <formula1>1</formula1>
    </dataValidation>
    <dataValidation type="list" allowBlank="1" showInputMessage="1" showErrorMessage="1" errorTitle="Invalid Type" error="Please select a valid type from the dropdown list" sqref="D12:D69" xr:uid="{B21E98B1-F467-4BFB-A39A-F6635B2C3A33}">
      <formula1>"INCOME,EXPENSES,SAVINGS"</formula1>
    </dataValidation>
    <dataValidation type="custom" allowBlank="1" showInputMessage="1" showErrorMessage="1" errorTitle="INVALID AMOUNT" error="Please enter a valid number" sqref="F12:F69" xr:uid="{82A0EE33-E018-44ED-84F4-F9B77E3A5077}">
      <formula1>ISNUMBER(F12)</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6AB57-2F33-41AB-8182-3B642F4BE037}">
  <dimension ref="A1:AZ52"/>
  <sheetViews>
    <sheetView showGridLines="0" topLeftCell="AC12" zoomScale="91" zoomScaleNormal="91" workbookViewId="0">
      <selection activeCell="AI6" sqref="AI6"/>
    </sheetView>
  </sheetViews>
  <sheetFormatPr defaultRowHeight="15" x14ac:dyDescent="0.25"/>
  <cols>
    <col min="2" max="2" width="6.85546875" customWidth="1"/>
    <col min="3" max="3" width="8.85546875" hidden="1" customWidth="1"/>
    <col min="4" max="4" width="16.85546875" hidden="1" customWidth="1"/>
    <col min="5" max="5" width="11.28515625" hidden="1" customWidth="1"/>
    <col min="6" max="6" width="10" hidden="1" customWidth="1"/>
    <col min="7" max="7" width="10.5703125" hidden="1" customWidth="1"/>
    <col min="8" max="9" width="11.28515625" hidden="1" customWidth="1"/>
    <col min="10" max="10" width="29.28515625" hidden="1" customWidth="1"/>
    <col min="11" max="11" width="10" hidden="1" customWidth="1"/>
    <col min="12" max="12" width="11.140625" hidden="1" customWidth="1"/>
    <col min="13" max="14" width="13.85546875" hidden="1" customWidth="1"/>
    <col min="15" max="15" width="15.5703125" hidden="1" customWidth="1"/>
    <col min="16" max="16" width="12.7109375" hidden="1" customWidth="1"/>
    <col min="17" max="17" width="13.140625" hidden="1" customWidth="1"/>
    <col min="18" max="18" width="12.85546875" hidden="1" customWidth="1"/>
    <col min="19" max="19" width="13" hidden="1" customWidth="1"/>
    <col min="20" max="20" width="18" hidden="1" customWidth="1"/>
    <col min="21" max="21" width="16.7109375" hidden="1" customWidth="1"/>
    <col min="22" max="22" width="29.42578125" hidden="1" customWidth="1"/>
    <col min="23" max="24" width="20.28515625" hidden="1" customWidth="1"/>
    <col min="25" max="25" width="32" customWidth="1"/>
    <col min="26" max="26" width="10.28515625" bestFit="1" customWidth="1"/>
    <col min="27" max="27" width="11.42578125" bestFit="1" customWidth="1"/>
    <col min="28" max="28" width="9.28515625" bestFit="1" customWidth="1"/>
    <col min="29" max="29" width="12.85546875" customWidth="1"/>
    <col min="30" max="30" width="9.28515625" bestFit="1" customWidth="1"/>
    <col min="31" max="31" width="5.28515625" customWidth="1"/>
    <col min="32" max="32" width="20.85546875" customWidth="1"/>
    <col min="33" max="33" width="22.140625" customWidth="1"/>
    <col min="34" max="34" width="4" customWidth="1"/>
    <col min="35" max="35" width="20.28515625" customWidth="1"/>
    <col min="37" max="37" width="6.28515625" customWidth="1"/>
    <col min="38" max="38" width="4.7109375" customWidth="1"/>
    <col min="39" max="40" width="20.85546875" customWidth="1"/>
    <col min="41" max="41" width="9.42578125" customWidth="1"/>
    <col min="42" max="42" width="24.42578125" customWidth="1"/>
    <col min="44" max="44" width="6.28515625" customWidth="1"/>
  </cols>
  <sheetData>
    <row r="1" spans="1:52" x14ac:dyDescent="0.25">
      <c r="A1" s="201" t="s">
        <v>55</v>
      </c>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1"/>
      <c r="AB1" s="202"/>
      <c r="AC1" s="202"/>
      <c r="AD1" s="202"/>
      <c r="AE1" s="202"/>
      <c r="AF1" s="202"/>
      <c r="AG1" s="202"/>
      <c r="AH1" s="202"/>
      <c r="AI1" s="202"/>
      <c r="AJ1" s="202"/>
      <c r="AK1" s="202"/>
      <c r="AL1" s="202"/>
      <c r="AM1" s="202"/>
      <c r="AN1" s="202"/>
      <c r="AO1" s="202"/>
      <c r="AP1" s="202"/>
      <c r="AQ1" s="202"/>
      <c r="AR1" s="202"/>
      <c r="AS1" s="202"/>
      <c r="AT1" s="202"/>
      <c r="AU1" s="202"/>
      <c r="AV1" s="202"/>
      <c r="AW1" s="202"/>
      <c r="AX1" s="202"/>
      <c r="AY1" s="202"/>
      <c r="AZ1" s="202"/>
    </row>
    <row r="2" spans="1:52" x14ac:dyDescent="0.25">
      <c r="A2" s="202"/>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row>
    <row r="3" spans="1:52" x14ac:dyDescent="0.25">
      <c r="A3" s="202"/>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row>
    <row r="5" spans="1:52" x14ac:dyDescent="0.25">
      <c r="AQ5" s="208"/>
      <c r="AR5" s="209"/>
    </row>
    <row r="6" spans="1:52" x14ac:dyDescent="0.25">
      <c r="AN6" s="211"/>
      <c r="AO6" s="212"/>
      <c r="AP6" s="212"/>
      <c r="AQ6" s="210"/>
      <c r="AR6" s="210"/>
    </row>
    <row r="7" spans="1:52" ht="21" x14ac:dyDescent="0.35">
      <c r="AB7" s="110"/>
    </row>
    <row r="8" spans="1:52" x14ac:dyDescent="0.25">
      <c r="AQ8" s="208"/>
      <c r="AR8" s="209"/>
    </row>
    <row r="9" spans="1:52" x14ac:dyDescent="0.25">
      <c r="AN9" s="211"/>
      <c r="AO9" s="212"/>
      <c r="AP9" s="212"/>
      <c r="AQ9" s="205"/>
      <c r="AR9" s="205"/>
    </row>
    <row r="11" spans="1:52" x14ac:dyDescent="0.25">
      <c r="C11" s="206"/>
      <c r="D11" s="206"/>
      <c r="E11" s="206"/>
      <c r="F11" s="206"/>
      <c r="G11" s="206"/>
      <c r="H11" s="206"/>
      <c r="I11" s="206"/>
      <c r="J11" s="206"/>
      <c r="K11" s="206"/>
      <c r="L11" s="206"/>
      <c r="M11" s="206"/>
      <c r="N11" s="206"/>
      <c r="O11" s="206"/>
      <c r="P11" s="206"/>
      <c r="Q11" s="206"/>
      <c r="R11" s="206"/>
      <c r="S11" s="206"/>
      <c r="T11" s="206"/>
      <c r="U11" s="206"/>
      <c r="V11" s="206"/>
      <c r="W11" s="206"/>
      <c r="X11" s="206"/>
      <c r="Y11" s="207">
        <f>STARTING_YEAR</f>
        <v>2022</v>
      </c>
      <c r="Z11" s="207"/>
      <c r="AA11" s="207"/>
      <c r="AB11" s="207"/>
      <c r="AC11" s="207"/>
      <c r="AD11" s="207"/>
      <c r="AF11" s="207" t="str">
        <f>"SUMMARY -"&amp;IF(selected_period="Total Year",selected_year &amp; "(Total Year)",selected_period_display &amp; " "  &amp; selected_year)</f>
        <v>SUMMARY -March 0</v>
      </c>
      <c r="AG11" s="207"/>
      <c r="AH11" s="207"/>
      <c r="AI11" s="207"/>
      <c r="AJ11" s="207"/>
      <c r="AK11" s="207"/>
      <c r="AL11" s="207"/>
      <c r="AM11" s="207"/>
      <c r="AN11" s="207"/>
      <c r="AO11" s="207"/>
      <c r="AP11" s="207"/>
      <c r="AQ11" s="207"/>
      <c r="AR11" s="207"/>
    </row>
    <row r="12" spans="1:52" ht="15.75" x14ac:dyDescent="0.25">
      <c r="C12" s="85" t="s">
        <v>60</v>
      </c>
      <c r="D12" s="85" t="s">
        <v>61</v>
      </c>
      <c r="E12" s="85" t="s">
        <v>62</v>
      </c>
      <c r="F12" s="85" t="s">
        <v>63</v>
      </c>
      <c r="G12" s="85" t="s">
        <v>64</v>
      </c>
      <c r="H12" s="85" t="s">
        <v>65</v>
      </c>
      <c r="I12" s="85" t="s">
        <v>66</v>
      </c>
      <c r="J12" s="85" t="s">
        <v>67</v>
      </c>
      <c r="K12" s="85" t="s">
        <v>68</v>
      </c>
      <c r="L12" s="85" t="s">
        <v>69</v>
      </c>
      <c r="M12" s="87" t="s">
        <v>73</v>
      </c>
      <c r="N12" s="87" t="s">
        <v>74</v>
      </c>
      <c r="O12" s="87" t="s">
        <v>75</v>
      </c>
      <c r="P12" s="87" t="s">
        <v>76</v>
      </c>
      <c r="Q12" s="87" t="s">
        <v>77</v>
      </c>
      <c r="R12" s="87" t="s">
        <v>78</v>
      </c>
      <c r="S12" s="87" t="s">
        <v>79</v>
      </c>
      <c r="T12" s="87" t="s">
        <v>80</v>
      </c>
      <c r="U12" s="87" t="s">
        <v>81</v>
      </c>
      <c r="V12" s="87" t="s">
        <v>82</v>
      </c>
      <c r="W12" s="87" t="s">
        <v>83</v>
      </c>
      <c r="X12" s="87" t="s">
        <v>84</v>
      </c>
      <c r="Y12" s="89"/>
      <c r="Z12" s="116"/>
      <c r="AA12" s="113"/>
      <c r="AB12" s="108"/>
      <c r="AC12" s="116"/>
      <c r="AD12" s="116"/>
    </row>
    <row r="13" spans="1:52" ht="15.75" x14ac:dyDescent="0.25">
      <c r="C13" s="89" cm="1">
        <f t="array" ref="C13">INCOME_HEADER_ROW</f>
        <v>9</v>
      </c>
      <c r="D13" s="89">
        <v>9</v>
      </c>
      <c r="E13" s="89">
        <v>1</v>
      </c>
      <c r="F13" s="89">
        <v>0</v>
      </c>
      <c r="G13" s="89">
        <v>0</v>
      </c>
      <c r="H13" s="89">
        <v>0</v>
      </c>
      <c r="I13" s="89" t="s">
        <v>3</v>
      </c>
      <c r="J13" s="89" t="str" cm="1">
        <f t="array" ref="J13">IFERROR(INDEX('BUDGET PLANNING'!$C:$C,row_id),"")</f>
        <v>INCOME</v>
      </c>
      <c r="K13" s="90"/>
      <c r="L13" s="91"/>
      <c r="M13" s="92" t="str" cm="1">
        <f t="array" ref="M13">IF(is_cat,IF(header_row_id=INCOME_HEADER_ROW,MATCH(INCOME_MIN_ROW,$C:$C,0),""),"")</f>
        <v/>
      </c>
      <c r="N13" s="93"/>
      <c r="O13" s="89" t="str">
        <f t="shared" ref="O13:O50" si="0">IF(is_cat,ADDRESS(sort_min_row,COLUMN(tracked))&amp;":"&amp;ADDRESS(sort_max_row,COLUMN(tracked)),"")</f>
        <v/>
      </c>
      <c r="P13" s="84" t="str">
        <f ca="1">IF(is_cat,RANK(tracked,INDIRECT(tracked_range),0),"")</f>
        <v/>
      </c>
      <c r="Q13" s="84" t="str">
        <f t="shared" ref="Q13:Q50" si="1">IF(is_cat,ADDRESS(sort_min_row,COLUMN(budget))&amp;":"&amp;ADDRESS(sort_max_row,COLUMN(budget)),"")</f>
        <v/>
      </c>
      <c r="R13" s="84" t="str">
        <f t="shared" ref="R13:R50" ca="1" si="2">IF(is_cat,RANK(budget,INDIRECT(budget_range),0),"")</f>
        <v/>
      </c>
      <c r="S13" s="84" t="str">
        <f t="shared" ref="S13:S50" si="3">IF(is_cat,_xlfn.NUMBERVALUE(tracked_rank &amp; budget_rank),"")</f>
        <v/>
      </c>
      <c r="T13" s="89" t="str">
        <f t="shared" ref="T13:T50" si="4">IF(is_cat,ADDRESS(sort_min_row,COLUMN(comb_rank)) &amp; ":" &amp; ADDRESS(sort_max_row,COLUMN(comb_rank)),"")</f>
        <v/>
      </c>
      <c r="U13" s="89" t="str">
        <f t="shared" ref="U13:U50" ca="1" si="5">IF(is_cat,RANK(comb_rank,INDIRECT(comb_rank_range),1),"")</f>
        <v/>
      </c>
      <c r="V13" s="89" t="str">
        <f t="shared" ref="V13:V50" si="6">IF(is_cat,ADDRESS(sort_min_row,COLUMN(comb_rank_norm))&amp; ":" &amp; ADDRESS(ROW(),COLUMN(comb_rank_norm)),"")</f>
        <v/>
      </c>
      <c r="W13" s="91" t="str">
        <f t="shared" ref="W13:W51" ca="1" si="7">IF(is_cat,comb_rank_norm+COUNTIF(INDIRECT(comb_rank_norm_run_range),comb_rank_norm)-1,"")</f>
        <v/>
      </c>
      <c r="X13" s="91">
        <f t="shared" ref="X13:X50" si="8">IF(is_cat,header_row_id+comb_rank_unique,row_id)</f>
        <v>9</v>
      </c>
      <c r="Y13" s="122" t="str">
        <f t="shared" ref="Y13:Y37" si="9">IF(is_empty,"",INDEX($J:$J,MATCH(row_id,$X:$X,0)))</f>
        <v>INCOME</v>
      </c>
      <c r="Z13" s="123" t="str">
        <f t="shared" ref="Z13:Z31" si="10">IF(is_empty,"",IF(is_header,"TRACKED",INDEX($K:$K,MATCH(row_id,$X:$X,0))))</f>
        <v>TRACKED</v>
      </c>
      <c r="AA13" s="124" t="str">
        <f t="shared" ref="AA13:AA37" si="11">IF(is_empty,"",IF(is_header,"BUDGET",INDEX($L:$L,MATCH(row_id,$X:$X,0))))</f>
        <v>BUDGET</v>
      </c>
      <c r="AB13" s="125" t="str">
        <f>IF(is_empty,"",IF(is_header,"%Compl.",IFERROR(out_tracked/out_budget,"-")))</f>
        <v>%Compl.</v>
      </c>
      <c r="AC13" s="123" t="str">
        <f>IF(is_empty,"",IF(is_header,"Remaining",IF(out_budget-out_tracked&gt;0,out_budget-out_tracked,0)))</f>
        <v>Remaining</v>
      </c>
      <c r="AD13" s="123" t="str">
        <f>IF(is_empty,"",IF(is_header,"Excess",IF(out_budget-out_tracked&lt;0,out_tracked-out_budget,0)))</f>
        <v>Excess</v>
      </c>
      <c r="AF13" s="131"/>
      <c r="AG13" s="132"/>
      <c r="AH13" s="132"/>
      <c r="AI13" s="132"/>
      <c r="AJ13" s="132"/>
      <c r="AK13" s="133"/>
      <c r="AM13" s="131"/>
      <c r="AN13" s="132"/>
      <c r="AO13" s="132"/>
      <c r="AP13" s="132"/>
      <c r="AQ13" s="132"/>
      <c r="AR13" s="133"/>
    </row>
    <row r="14" spans="1:52" ht="15.75" x14ac:dyDescent="0.25">
      <c r="C14" s="89">
        <f>C13+1</f>
        <v>10</v>
      </c>
      <c r="D14" s="89">
        <v>9</v>
      </c>
      <c r="E14" s="89">
        <v>0</v>
      </c>
      <c r="F14" s="89">
        <v>1</v>
      </c>
      <c r="G14" s="89">
        <v>0</v>
      </c>
      <c r="H14" s="89">
        <v>0</v>
      </c>
      <c r="I14" s="89" t="s">
        <v>3</v>
      </c>
      <c r="J14" s="89" t="str" cm="1">
        <f t="array" ref="J14">IFERROR(INDEX('BUDGET PLANNING'!$C:$C,row_id),"")</f>
        <v>EMPLOYMENT(NET)</v>
      </c>
      <c r="K14" s="94">
        <v>3500</v>
      </c>
      <c r="L14" s="95">
        <v>51000</v>
      </c>
      <c r="M14" s="92">
        <v>14</v>
      </c>
      <c r="N14" s="93">
        <v>16</v>
      </c>
      <c r="O14" s="89" t="str">
        <f t="shared" si="0"/>
        <v>$K$14:$K$16</v>
      </c>
      <c r="P14" s="89">
        <f ca="1">IF(is_cat,RANK(tracked,INDIRECT(tracked_range),0),"")</f>
        <v>1</v>
      </c>
      <c r="Q14" s="89" t="str">
        <f t="shared" si="1"/>
        <v>$L$14:$L$16</v>
      </c>
      <c r="R14" s="89">
        <f t="shared" ca="1" si="2"/>
        <v>1</v>
      </c>
      <c r="S14" s="84">
        <f t="shared" ca="1" si="3"/>
        <v>11</v>
      </c>
      <c r="T14" s="89" t="str">
        <f t="shared" si="4"/>
        <v>$S$14:$S$16</v>
      </c>
      <c r="U14" s="89">
        <f t="shared" ca="1" si="5"/>
        <v>1</v>
      </c>
      <c r="V14" s="89" t="str">
        <f t="shared" si="6"/>
        <v>$U$14:$U$14</v>
      </c>
      <c r="W14" s="91">
        <f t="shared" ca="1" si="7"/>
        <v>1</v>
      </c>
      <c r="X14" s="91">
        <f t="shared" ca="1" si="8"/>
        <v>10</v>
      </c>
      <c r="Y14" s="89" t="str">
        <f t="shared" ca="1" si="9"/>
        <v>EMPLOYMENT(NET)</v>
      </c>
      <c r="Z14" s="96">
        <f t="shared" ca="1" si="10"/>
        <v>3500</v>
      </c>
      <c r="AA14" s="113">
        <f t="shared" ca="1" si="11"/>
        <v>51000</v>
      </c>
      <c r="AB14" s="108">
        <f ca="1">IF(is_empty,"",IF(is_header,"%Compl.",IFERROR(out_tracked/out_budget,"-")))</f>
        <v>6.8627450980392163E-2</v>
      </c>
      <c r="AC14" s="96">
        <f ca="1">IF(is_empty,"",IF(is_header,"Remaining",IF(out_budget-out_tracked&gt;0,out_budget-out_tracked,0)))</f>
        <v>47500</v>
      </c>
      <c r="AD14" s="111">
        <f ca="1">IF(is_empty,"",IF(is_header,"Excess",IF(out_budget-out_tracked&lt;0,out_tracked-out_budget,0)))</f>
        <v>0</v>
      </c>
      <c r="AF14" s="134"/>
      <c r="AK14" s="135"/>
      <c r="AM14" s="134"/>
      <c r="AR14" s="135"/>
    </row>
    <row r="15" spans="1:52" ht="15.75" x14ac:dyDescent="0.25">
      <c r="C15" s="89">
        <f t="shared" ref="C15:C36" si="12">C14+1</f>
        <v>11</v>
      </c>
      <c r="D15" s="89">
        <v>9</v>
      </c>
      <c r="E15" s="89">
        <v>0</v>
      </c>
      <c r="F15" s="89">
        <v>1</v>
      </c>
      <c r="G15" s="89">
        <v>0</v>
      </c>
      <c r="H15" s="89">
        <v>0</v>
      </c>
      <c r="I15" s="89" t="s">
        <v>3</v>
      </c>
      <c r="J15" s="89" t="s">
        <v>7</v>
      </c>
      <c r="K15" s="94">
        <v>500</v>
      </c>
      <c r="L15" s="95">
        <v>12000</v>
      </c>
      <c r="M15" s="92">
        <v>14</v>
      </c>
      <c r="N15" s="93">
        <v>16</v>
      </c>
      <c r="O15" s="89" t="str">
        <f t="shared" si="0"/>
        <v>$K$14:$K$16</v>
      </c>
      <c r="P15" s="89">
        <f ca="1">IF(is_cat,RANK(tracked,INDIRECT(tracked_range),0),"")</f>
        <v>2</v>
      </c>
      <c r="Q15" s="89" t="str">
        <f t="shared" si="1"/>
        <v>$L$14:$L$16</v>
      </c>
      <c r="R15" s="89">
        <f t="shared" ca="1" si="2"/>
        <v>2</v>
      </c>
      <c r="S15" s="84">
        <f t="shared" ca="1" si="3"/>
        <v>22</v>
      </c>
      <c r="T15" s="89" t="str">
        <f t="shared" si="4"/>
        <v>$S$14:$S$16</v>
      </c>
      <c r="U15" s="89">
        <f t="shared" ca="1" si="5"/>
        <v>2</v>
      </c>
      <c r="V15" s="89" t="str">
        <f t="shared" si="6"/>
        <v>$U$14:$U$15</v>
      </c>
      <c r="W15" s="91">
        <f t="shared" ca="1" si="7"/>
        <v>2</v>
      </c>
      <c r="X15" s="91">
        <f t="shared" ca="1" si="8"/>
        <v>11</v>
      </c>
      <c r="Y15" s="89" t="str">
        <f t="shared" ca="1" si="9"/>
        <v>SIDE HUSTLE(NET)</v>
      </c>
      <c r="Z15" s="96">
        <f t="shared" ca="1" si="10"/>
        <v>500</v>
      </c>
      <c r="AA15" s="113">
        <f t="shared" ca="1" si="11"/>
        <v>12000</v>
      </c>
      <c r="AB15" s="108">
        <f ca="1">IF(is_empty,"",IF(is_header,"%Compl.",IFERROR(out_tracked/out_budget,"-")))</f>
        <v>4.1666666666666664E-2</v>
      </c>
      <c r="AC15" s="96">
        <f ca="1">IF(is_empty,"",IF(is_header,"Remaining",IF(out_budget-out_tracked&gt;0,out_budget-out_tracked,0)))</f>
        <v>11500</v>
      </c>
      <c r="AD15" s="111">
        <f ca="1">IF(is_empty,"",IF(is_header,"Excess",IF(out_budget-out_tracked&lt;0,out_tracked-out_budget,0)))</f>
        <v>0</v>
      </c>
      <c r="AF15" s="134"/>
      <c r="AK15" s="135"/>
      <c r="AM15" s="164"/>
      <c r="AN15" s="163"/>
      <c r="AR15" s="135"/>
    </row>
    <row r="16" spans="1:52" ht="15.75" x14ac:dyDescent="0.25">
      <c r="C16" s="89">
        <f t="shared" si="12"/>
        <v>12</v>
      </c>
      <c r="D16" s="89">
        <v>9</v>
      </c>
      <c r="E16" s="89">
        <v>0</v>
      </c>
      <c r="F16" s="89">
        <v>1</v>
      </c>
      <c r="G16" s="89">
        <v>0</v>
      </c>
      <c r="H16" s="89">
        <v>0</v>
      </c>
      <c r="I16" s="89" t="s">
        <v>3</v>
      </c>
      <c r="J16" s="89" t="s">
        <v>8</v>
      </c>
      <c r="K16" s="96" t="s">
        <v>72</v>
      </c>
      <c r="L16" s="95">
        <v>1200</v>
      </c>
      <c r="M16" s="92">
        <v>14</v>
      </c>
      <c r="N16" s="93">
        <v>16</v>
      </c>
      <c r="O16" s="89" t="str">
        <f t="shared" si="0"/>
        <v>$K$14:$K$16</v>
      </c>
      <c r="P16" s="89">
        <v>3</v>
      </c>
      <c r="Q16" s="89" t="str">
        <f t="shared" si="1"/>
        <v>$L$14:$L$16</v>
      </c>
      <c r="R16" s="89">
        <f t="shared" ca="1" si="2"/>
        <v>3</v>
      </c>
      <c r="S16" s="84">
        <f t="shared" ca="1" si="3"/>
        <v>33</v>
      </c>
      <c r="T16" s="89" t="str">
        <f t="shared" si="4"/>
        <v>$S$14:$S$16</v>
      </c>
      <c r="U16" s="89">
        <f t="shared" ca="1" si="5"/>
        <v>3</v>
      </c>
      <c r="V16" s="89" t="str">
        <f t="shared" si="6"/>
        <v>$U$14:$U$16</v>
      </c>
      <c r="W16" s="91">
        <f t="shared" ca="1" si="7"/>
        <v>3</v>
      </c>
      <c r="X16" s="91">
        <f t="shared" ca="1" si="8"/>
        <v>12</v>
      </c>
      <c r="Y16" s="100" t="str">
        <f t="shared" ca="1" si="9"/>
        <v>DIVIDENDS</v>
      </c>
      <c r="Z16" s="114">
        <v>50</v>
      </c>
      <c r="AA16" s="115">
        <f t="shared" ca="1" si="11"/>
        <v>1200</v>
      </c>
      <c r="AB16" s="109">
        <v>0</v>
      </c>
      <c r="AC16" s="114">
        <v>1200</v>
      </c>
      <c r="AD16" s="112">
        <v>0</v>
      </c>
      <c r="AF16" s="134"/>
      <c r="AK16" s="135"/>
      <c r="AM16" s="134"/>
      <c r="AR16" s="135"/>
    </row>
    <row r="17" spans="3:44" ht="15.75" x14ac:dyDescent="0.25">
      <c r="C17" s="89">
        <v>20</v>
      </c>
      <c r="D17" s="89">
        <v>9</v>
      </c>
      <c r="E17" s="89">
        <v>0</v>
      </c>
      <c r="F17" s="89">
        <v>0</v>
      </c>
      <c r="G17" s="89">
        <v>1</v>
      </c>
      <c r="H17" s="89">
        <v>0</v>
      </c>
      <c r="I17" s="89" t="s">
        <v>3</v>
      </c>
      <c r="J17" s="91" t="s">
        <v>5</v>
      </c>
      <c r="K17" s="25">
        <f>SUM(K14:K15)</f>
        <v>4000</v>
      </c>
      <c r="L17" s="95">
        <f>SUM(L14:L16)</f>
        <v>64200</v>
      </c>
      <c r="M17" s="92" t="str" cm="1">
        <f t="array" ref="M17">IF(is_cat,IF(header_row_id=INCOME_HEADER_ROW,MATCH(INCOME_MIN_ROW,$C:$C,0),""),"")</f>
        <v/>
      </c>
      <c r="N17" s="93"/>
      <c r="O17" s="89" t="str">
        <f t="shared" si="0"/>
        <v/>
      </c>
      <c r="P17" s="89" t="str">
        <f ca="1">IF(is_cat,RANK(tracked,INDIRECT(tracked_range),0),"")</f>
        <v/>
      </c>
      <c r="Q17" s="89" t="str">
        <f t="shared" si="1"/>
        <v/>
      </c>
      <c r="R17" s="89" t="str">
        <f t="shared" ca="1" si="2"/>
        <v/>
      </c>
      <c r="S17" s="84" t="str">
        <f t="shared" si="3"/>
        <v/>
      </c>
      <c r="T17" s="89" t="str">
        <f t="shared" si="4"/>
        <v/>
      </c>
      <c r="U17" s="89" t="str">
        <f t="shared" ca="1" si="5"/>
        <v/>
      </c>
      <c r="V17" s="89" t="str">
        <f t="shared" si="6"/>
        <v/>
      </c>
      <c r="W17" s="91" t="str">
        <f t="shared" ca="1" si="7"/>
        <v/>
      </c>
      <c r="X17" s="91">
        <f t="shared" si="8"/>
        <v>20</v>
      </c>
      <c r="Y17" s="126" t="str">
        <f t="shared" ca="1" si="9"/>
        <v>TOTAL</v>
      </c>
      <c r="Z17" s="127">
        <f ca="1">SUM(Z14:Z16)</f>
        <v>4050</v>
      </c>
      <c r="AA17" s="128">
        <f t="shared" ca="1" si="11"/>
        <v>64200</v>
      </c>
      <c r="AB17" s="129">
        <f t="shared" ref="AB17:AB23" ca="1" si="13">IF(is_empty,"",IF(is_header,"%Compl.",IFERROR(out_tracked/out_budget,"-")))</f>
        <v>6.3084112149532703E-2</v>
      </c>
      <c r="AC17" s="127">
        <f t="shared" ref="AC17:AC23" ca="1" si="14">IF(is_empty,"",IF(is_header,"Remaining",IF(out_budget-out_tracked&gt;0,out_budget-out_tracked,0)))</f>
        <v>60150</v>
      </c>
      <c r="AD17" s="130">
        <f t="shared" ref="AD17:AD23" ca="1" si="15">IF(is_empty,"",IF(is_header,"Excess",IF(out_budget-out_tracked&lt;0,out_tracked-out_budget,0)))</f>
        <v>0</v>
      </c>
      <c r="AF17" s="134"/>
      <c r="AH17" s="151"/>
      <c r="AI17" s="14" t="str">
        <f>CALCULATIONS!E35</f>
        <v>Employment(Net)</v>
      </c>
      <c r="AJ17" s="147">
        <f>CALCULATIONS!F35</f>
        <v>3500</v>
      </c>
      <c r="AK17" s="135"/>
      <c r="AM17" s="134"/>
      <c r="AR17" s="135"/>
    </row>
    <row r="18" spans="3:44" ht="15.75" x14ac:dyDescent="0.25">
      <c r="C18" s="89"/>
      <c r="D18" s="89">
        <v>-1</v>
      </c>
      <c r="E18" s="89"/>
      <c r="F18" s="89">
        <v>0</v>
      </c>
      <c r="G18" s="89"/>
      <c r="H18" s="89">
        <v>1</v>
      </c>
      <c r="I18" s="89"/>
      <c r="J18" s="91"/>
      <c r="K18" s="97"/>
      <c r="L18" s="95"/>
      <c r="M18" s="92" t="str" cm="1">
        <f t="array" ref="M18">IF(is_cat,IF(header_row_id=INCOME_HEADER_ROW,MATCH(INCOME_MIN_ROW,$C:$C,0),""),"")</f>
        <v/>
      </c>
      <c r="N18" s="93"/>
      <c r="O18" s="89" t="str">
        <f t="shared" si="0"/>
        <v/>
      </c>
      <c r="P18" s="89" t="str">
        <f ca="1">IF(is_cat,RANK(tracked,INDIRECT(tracked_range),0),"")</f>
        <v/>
      </c>
      <c r="Q18" s="89" t="str">
        <f t="shared" si="1"/>
        <v/>
      </c>
      <c r="R18" s="89" t="str">
        <f t="shared" ca="1" si="2"/>
        <v/>
      </c>
      <c r="S18" s="84" t="str">
        <f t="shared" si="3"/>
        <v/>
      </c>
      <c r="T18" s="89" t="str">
        <f t="shared" si="4"/>
        <v/>
      </c>
      <c r="U18" s="89" t="str">
        <f t="shared" ca="1" si="5"/>
        <v/>
      </c>
      <c r="V18" s="89" t="str">
        <f t="shared" si="6"/>
        <v/>
      </c>
      <c r="W18" s="91" t="str">
        <f t="shared" ca="1" si="7"/>
        <v/>
      </c>
      <c r="X18" s="91">
        <f t="shared" si="8"/>
        <v>0</v>
      </c>
      <c r="Y18" s="89" t="str">
        <f t="shared" si="9"/>
        <v/>
      </c>
      <c r="Z18" s="96" t="str">
        <f t="shared" si="10"/>
        <v/>
      </c>
      <c r="AA18" s="113" t="str">
        <f t="shared" si="11"/>
        <v/>
      </c>
      <c r="AB18" s="108" t="str">
        <f t="shared" si="13"/>
        <v/>
      </c>
      <c r="AC18" s="96" t="str">
        <f t="shared" si="14"/>
        <v/>
      </c>
      <c r="AD18" s="111" t="str">
        <f t="shared" si="15"/>
        <v/>
      </c>
      <c r="AF18" s="134"/>
      <c r="AH18" s="150"/>
      <c r="AI18" s="14" t="str">
        <f>CALCULATIONS!E36</f>
        <v>Side Hustle(Net)</v>
      </c>
      <c r="AJ18" s="147">
        <f>CALCULATIONS!F36</f>
        <v>500</v>
      </c>
      <c r="AK18" s="135"/>
      <c r="AM18" s="134"/>
      <c r="AR18" s="135"/>
    </row>
    <row r="19" spans="3:44" ht="15.75" x14ac:dyDescent="0.25">
      <c r="C19" s="89">
        <v>22</v>
      </c>
      <c r="D19" s="89">
        <v>22</v>
      </c>
      <c r="E19" s="89">
        <v>1</v>
      </c>
      <c r="F19" s="89">
        <v>0</v>
      </c>
      <c r="G19" s="89">
        <v>0</v>
      </c>
      <c r="H19" s="89">
        <v>0</v>
      </c>
      <c r="I19" s="89" t="s">
        <v>9</v>
      </c>
      <c r="J19" s="89" t="s">
        <v>9</v>
      </c>
      <c r="K19" s="97"/>
      <c r="L19" s="95"/>
      <c r="M19" s="92"/>
      <c r="N19" s="93"/>
      <c r="O19" s="89" t="str">
        <f t="shared" si="0"/>
        <v/>
      </c>
      <c r="P19" s="89" t="str">
        <f ca="1">IF(is_cat,RANK(tracked,INDIRECT(tracked_range),0),"")</f>
        <v/>
      </c>
      <c r="Q19" s="89" t="str">
        <f t="shared" si="1"/>
        <v/>
      </c>
      <c r="R19" s="89" t="str">
        <f t="shared" ca="1" si="2"/>
        <v/>
      </c>
      <c r="S19" s="84" t="str">
        <f t="shared" si="3"/>
        <v/>
      </c>
      <c r="T19" s="89" t="str">
        <f t="shared" si="4"/>
        <v/>
      </c>
      <c r="U19" s="89" t="str">
        <f t="shared" ca="1" si="5"/>
        <v/>
      </c>
      <c r="V19" s="89" t="str">
        <f t="shared" si="6"/>
        <v/>
      </c>
      <c r="W19" s="91" t="str">
        <f t="shared" ca="1" si="7"/>
        <v/>
      </c>
      <c r="X19" s="91">
        <f t="shared" si="8"/>
        <v>22</v>
      </c>
      <c r="Y19" s="120" t="str">
        <f t="shared" ca="1" si="9"/>
        <v>EXPENSES</v>
      </c>
      <c r="Z19" s="118" t="str">
        <f t="shared" si="10"/>
        <v>TRACKED</v>
      </c>
      <c r="AA19" s="121" t="str">
        <f t="shared" si="11"/>
        <v>BUDGET</v>
      </c>
      <c r="AB19" s="117" t="str">
        <f t="shared" si="13"/>
        <v>%Compl.</v>
      </c>
      <c r="AC19" s="118" t="str">
        <f t="shared" si="14"/>
        <v>Remaining</v>
      </c>
      <c r="AD19" s="119" t="str">
        <f t="shared" si="15"/>
        <v>Excess</v>
      </c>
      <c r="AF19" s="134"/>
      <c r="AH19" s="158"/>
      <c r="AI19" s="14" t="str">
        <f>CALCULATIONS!E37</f>
        <v>Dividends</v>
      </c>
      <c r="AJ19" s="147">
        <f>CALCULATIONS!F37</f>
        <v>50</v>
      </c>
      <c r="AK19" s="135"/>
      <c r="AM19" s="134"/>
      <c r="AR19" s="135"/>
    </row>
    <row r="20" spans="3:44" ht="15.75" x14ac:dyDescent="0.25">
      <c r="C20" s="89">
        <f t="shared" si="12"/>
        <v>23</v>
      </c>
      <c r="D20" s="89">
        <v>22</v>
      </c>
      <c r="E20" s="89">
        <v>0</v>
      </c>
      <c r="F20" s="89">
        <v>1</v>
      </c>
      <c r="G20" s="89">
        <v>0</v>
      </c>
      <c r="H20" s="89">
        <v>0</v>
      </c>
      <c r="I20" s="89" t="s">
        <v>9</v>
      </c>
      <c r="J20" s="91" t="s">
        <v>10</v>
      </c>
      <c r="K20" s="97">
        <v>1200</v>
      </c>
      <c r="L20" s="95">
        <v>14400</v>
      </c>
      <c r="M20" s="92">
        <v>20</v>
      </c>
      <c r="N20" s="93">
        <v>28</v>
      </c>
      <c r="O20" s="89" t="str">
        <f t="shared" si="0"/>
        <v>$K$20:$K$28</v>
      </c>
      <c r="P20" s="89">
        <f ca="1">IF(is_cat,RANK(tracked,INDIRECT(tracked_range),0),"")</f>
        <v>1</v>
      </c>
      <c r="Q20" s="89" t="str">
        <f t="shared" si="1"/>
        <v>$L$20:$L$28</v>
      </c>
      <c r="R20" s="89">
        <f t="shared" ca="1" si="2"/>
        <v>1</v>
      </c>
      <c r="S20" s="84">
        <f t="shared" ca="1" si="3"/>
        <v>11</v>
      </c>
      <c r="T20" s="89" t="str">
        <f t="shared" si="4"/>
        <v>$S$20:$S$28</v>
      </c>
      <c r="U20" s="89">
        <f t="shared" ca="1" si="5"/>
        <v>1</v>
      </c>
      <c r="V20" s="89" t="str">
        <f t="shared" si="6"/>
        <v>$U$20:$U$20</v>
      </c>
      <c r="W20" s="91">
        <f t="shared" ca="1" si="7"/>
        <v>1</v>
      </c>
      <c r="X20" s="91">
        <f t="shared" ca="1" si="8"/>
        <v>23</v>
      </c>
      <c r="Y20" s="89" t="str">
        <f t="shared" ca="1" si="9"/>
        <v>HOUSING</v>
      </c>
      <c r="Z20" s="96">
        <f t="shared" ca="1" si="10"/>
        <v>1200</v>
      </c>
      <c r="AA20" s="113">
        <f t="shared" ca="1" si="11"/>
        <v>14400</v>
      </c>
      <c r="AB20" s="108">
        <f t="shared" ca="1" si="13"/>
        <v>8.3333333333333329E-2</v>
      </c>
      <c r="AC20" s="96">
        <f t="shared" ca="1" si="14"/>
        <v>13200</v>
      </c>
      <c r="AD20" s="111">
        <f t="shared" ca="1" si="15"/>
        <v>0</v>
      </c>
      <c r="AF20" s="134"/>
      <c r="AI20" s="14"/>
      <c r="AJ20" s="147"/>
      <c r="AK20" s="135"/>
      <c r="AM20" s="134"/>
      <c r="AR20" s="135"/>
    </row>
    <row r="21" spans="3:44" ht="15.75" x14ac:dyDescent="0.25">
      <c r="C21" s="89">
        <f t="shared" si="12"/>
        <v>24</v>
      </c>
      <c r="D21" s="89">
        <v>22</v>
      </c>
      <c r="E21" s="89">
        <v>0</v>
      </c>
      <c r="F21" s="89">
        <v>1</v>
      </c>
      <c r="G21" s="89">
        <v>0</v>
      </c>
      <c r="H21" s="89">
        <v>0</v>
      </c>
      <c r="I21" s="89" t="s">
        <v>9</v>
      </c>
      <c r="J21" s="91" t="s">
        <v>11</v>
      </c>
      <c r="K21" s="98" t="s">
        <v>72</v>
      </c>
      <c r="L21" s="95">
        <v>3600</v>
      </c>
      <c r="M21" s="92">
        <v>20</v>
      </c>
      <c r="N21" s="93">
        <v>28</v>
      </c>
      <c r="O21" s="89" t="str">
        <f t="shared" si="0"/>
        <v>$K$20:$K$28</v>
      </c>
      <c r="P21" s="89">
        <v>5</v>
      </c>
      <c r="Q21" s="89" t="str">
        <f t="shared" si="1"/>
        <v>$L$20:$L$28</v>
      </c>
      <c r="R21" s="89">
        <f t="shared" ca="1" si="2"/>
        <v>4</v>
      </c>
      <c r="S21" s="84">
        <f t="shared" ca="1" si="3"/>
        <v>54</v>
      </c>
      <c r="T21" s="89" t="str">
        <f t="shared" si="4"/>
        <v>$S$20:$S$28</v>
      </c>
      <c r="U21" s="89">
        <f t="shared" ca="1" si="5"/>
        <v>6</v>
      </c>
      <c r="V21" s="89" t="str">
        <f t="shared" si="6"/>
        <v>$U$20:$U$21</v>
      </c>
      <c r="W21" s="91">
        <f t="shared" ca="1" si="7"/>
        <v>6</v>
      </c>
      <c r="X21" s="91">
        <f t="shared" ca="1" si="8"/>
        <v>28</v>
      </c>
      <c r="Y21" s="89" t="str">
        <f t="shared" ca="1" si="9"/>
        <v>GROCERIES</v>
      </c>
      <c r="Z21" s="96">
        <v>400</v>
      </c>
      <c r="AA21" s="113">
        <f t="shared" ca="1" si="11"/>
        <v>4200</v>
      </c>
      <c r="AB21" s="108">
        <f t="shared" ca="1" si="13"/>
        <v>9.5238095238095233E-2</v>
      </c>
      <c r="AC21" s="96">
        <f t="shared" ca="1" si="14"/>
        <v>3800</v>
      </c>
      <c r="AD21" s="111">
        <f t="shared" ca="1" si="15"/>
        <v>0</v>
      </c>
      <c r="AF21" s="134"/>
      <c r="AH21" s="137"/>
      <c r="AI21" s="14"/>
      <c r="AJ21" s="147"/>
      <c r="AK21" s="135"/>
      <c r="AM21" s="134"/>
      <c r="AR21" s="135"/>
    </row>
    <row r="22" spans="3:44" ht="15.75" x14ac:dyDescent="0.25">
      <c r="C22" s="89">
        <f t="shared" si="12"/>
        <v>25</v>
      </c>
      <c r="D22" s="89">
        <v>22</v>
      </c>
      <c r="E22" s="89">
        <v>0</v>
      </c>
      <c r="F22" s="89">
        <v>1</v>
      </c>
      <c r="G22" s="89">
        <v>0</v>
      </c>
      <c r="H22" s="89">
        <v>0</v>
      </c>
      <c r="I22" s="89" t="s">
        <v>9</v>
      </c>
      <c r="J22" s="91" t="s">
        <v>12</v>
      </c>
      <c r="K22" s="97">
        <v>200</v>
      </c>
      <c r="L22" s="95">
        <v>4200</v>
      </c>
      <c r="M22" s="92">
        <v>20</v>
      </c>
      <c r="N22" s="93">
        <v>28</v>
      </c>
      <c r="O22" s="89" t="str">
        <f t="shared" si="0"/>
        <v>$K$20:$K$28</v>
      </c>
      <c r="P22" s="89">
        <f ca="1">IF(is_cat,RANK(tracked,INDIRECT(tracked_range),0),"")</f>
        <v>2</v>
      </c>
      <c r="Q22" s="89" t="str">
        <f t="shared" si="1"/>
        <v>$L$20:$L$28</v>
      </c>
      <c r="R22" s="89">
        <f t="shared" ca="1" si="2"/>
        <v>3</v>
      </c>
      <c r="S22" s="84">
        <f t="shared" ca="1" si="3"/>
        <v>23</v>
      </c>
      <c r="T22" s="89" t="str">
        <f t="shared" si="4"/>
        <v>$S$20:$S$28</v>
      </c>
      <c r="U22" s="89">
        <f t="shared" ca="1" si="5"/>
        <v>2</v>
      </c>
      <c r="V22" s="89" t="str">
        <f t="shared" si="6"/>
        <v>$U$20:$U$22</v>
      </c>
      <c r="W22" s="91">
        <f t="shared" ca="1" si="7"/>
        <v>2</v>
      </c>
      <c r="X22" s="91">
        <f t="shared" ca="1" si="8"/>
        <v>24</v>
      </c>
      <c r="Y22" s="89" t="str">
        <f t="shared" ca="1" si="9"/>
        <v>CLOTHING</v>
      </c>
      <c r="Z22" s="96">
        <v>140</v>
      </c>
      <c r="AA22" s="113">
        <f t="shared" ca="1" si="11"/>
        <v>2400</v>
      </c>
      <c r="AB22" s="108">
        <f t="shared" ca="1" si="13"/>
        <v>5.8333333333333334E-2</v>
      </c>
      <c r="AC22" s="96">
        <f t="shared" ca="1" si="14"/>
        <v>2260</v>
      </c>
      <c r="AD22" s="111">
        <f t="shared" ca="1" si="15"/>
        <v>0</v>
      </c>
      <c r="AF22" s="134"/>
      <c r="AI22" s="14"/>
      <c r="AJ22" s="147"/>
      <c r="AK22" s="135"/>
      <c r="AM22" s="134"/>
      <c r="AR22" s="135"/>
    </row>
    <row r="23" spans="3:44" ht="15.75" x14ac:dyDescent="0.25">
      <c r="C23" s="89">
        <f t="shared" si="12"/>
        <v>26</v>
      </c>
      <c r="D23" s="89">
        <v>22</v>
      </c>
      <c r="E23" s="89">
        <v>0</v>
      </c>
      <c r="F23" s="89">
        <v>1</v>
      </c>
      <c r="G23" s="89">
        <v>0</v>
      </c>
      <c r="H23" s="89">
        <v>0</v>
      </c>
      <c r="I23" s="89" t="s">
        <v>9</v>
      </c>
      <c r="J23" s="91" t="s">
        <v>16</v>
      </c>
      <c r="K23" s="97">
        <v>100</v>
      </c>
      <c r="L23" s="95">
        <v>3600</v>
      </c>
      <c r="M23" s="92">
        <v>20</v>
      </c>
      <c r="N23" s="93">
        <v>28</v>
      </c>
      <c r="O23" s="89" t="str">
        <f t="shared" si="0"/>
        <v>$K$20:$K$28</v>
      </c>
      <c r="P23" s="89">
        <f ca="1">IF(is_cat,RANK(tracked,INDIRECT(tracked_range),0),"")</f>
        <v>4</v>
      </c>
      <c r="Q23" s="89" t="str">
        <f t="shared" si="1"/>
        <v>$L$20:$L$28</v>
      </c>
      <c r="R23" s="89">
        <f t="shared" ca="1" si="2"/>
        <v>4</v>
      </c>
      <c r="S23" s="84">
        <f t="shared" ca="1" si="3"/>
        <v>44</v>
      </c>
      <c r="T23" s="89" t="str">
        <f t="shared" si="4"/>
        <v>$S$20:$S$28</v>
      </c>
      <c r="U23" s="89">
        <f t="shared" ca="1" si="5"/>
        <v>4</v>
      </c>
      <c r="V23" s="89" t="str">
        <f t="shared" si="6"/>
        <v>$U$20:$U$23</v>
      </c>
      <c r="W23" s="91">
        <f t="shared" ca="1" si="7"/>
        <v>4</v>
      </c>
      <c r="X23" s="91">
        <f t="shared" ca="1" si="8"/>
        <v>26</v>
      </c>
      <c r="Y23" s="89" t="str">
        <f t="shared" ca="1" si="9"/>
        <v>TRANSPORTATION</v>
      </c>
      <c r="Z23" s="96">
        <v>380</v>
      </c>
      <c r="AA23" s="113">
        <f t="shared" ca="1" si="11"/>
        <v>3600</v>
      </c>
      <c r="AB23" s="108">
        <f t="shared" ca="1" si="13"/>
        <v>0.10555555555555556</v>
      </c>
      <c r="AC23" s="96">
        <f t="shared" ca="1" si="14"/>
        <v>3220</v>
      </c>
      <c r="AD23" s="111">
        <f t="shared" ca="1" si="15"/>
        <v>0</v>
      </c>
      <c r="AF23" s="134"/>
      <c r="AH23" s="132"/>
      <c r="AI23" s="148" t="str">
        <f>CALCULATIONS!E41</f>
        <v>TOTAL</v>
      </c>
      <c r="AJ23" s="149">
        <f>CALCULATIONS!F41</f>
        <v>4050</v>
      </c>
      <c r="AK23" s="135"/>
      <c r="AM23" s="134"/>
      <c r="AR23" s="135"/>
    </row>
    <row r="24" spans="3:44" ht="15.75" x14ac:dyDescent="0.25">
      <c r="C24" s="89">
        <f t="shared" si="12"/>
        <v>27</v>
      </c>
      <c r="D24" s="89">
        <v>22</v>
      </c>
      <c r="E24" s="89">
        <v>0</v>
      </c>
      <c r="F24" s="89">
        <v>1</v>
      </c>
      <c r="G24" s="89">
        <v>0</v>
      </c>
      <c r="H24" s="89">
        <v>0</v>
      </c>
      <c r="I24" s="89" t="s">
        <v>9</v>
      </c>
      <c r="J24" s="89" t="s">
        <v>17</v>
      </c>
      <c r="K24" s="98" t="s">
        <v>72</v>
      </c>
      <c r="L24" s="95">
        <v>600</v>
      </c>
      <c r="M24" s="92">
        <v>20</v>
      </c>
      <c r="N24" s="93">
        <v>28</v>
      </c>
      <c r="O24" s="89" t="str">
        <f t="shared" si="0"/>
        <v>$K$20:$K$28</v>
      </c>
      <c r="P24" s="89">
        <v>5</v>
      </c>
      <c r="Q24" s="89" t="str">
        <f t="shared" si="1"/>
        <v>$L$20:$L$28</v>
      </c>
      <c r="R24" s="89">
        <f t="shared" ca="1" si="2"/>
        <v>8</v>
      </c>
      <c r="S24" s="84">
        <f t="shared" ca="1" si="3"/>
        <v>58</v>
      </c>
      <c r="T24" s="89" t="str">
        <f t="shared" si="4"/>
        <v>$S$20:$S$28</v>
      </c>
      <c r="U24" s="89">
        <f t="shared" ca="1" si="5"/>
        <v>8</v>
      </c>
      <c r="V24" s="89" t="str">
        <f t="shared" si="6"/>
        <v>$U$20:$U$24</v>
      </c>
      <c r="W24" s="91">
        <f t="shared" ca="1" si="7"/>
        <v>8</v>
      </c>
      <c r="X24" s="91">
        <f t="shared" ca="1" si="8"/>
        <v>30</v>
      </c>
      <c r="Y24" s="89" t="str">
        <f t="shared" ca="1" si="9"/>
        <v>FUN &amp; VACATION</v>
      </c>
      <c r="Z24" s="96">
        <v>250</v>
      </c>
      <c r="AA24" s="113">
        <f t="shared" ca="1" si="11"/>
        <v>6000</v>
      </c>
      <c r="AB24" s="108">
        <v>0</v>
      </c>
      <c r="AC24" s="96">
        <v>6000</v>
      </c>
      <c r="AD24" s="111">
        <v>0</v>
      </c>
      <c r="AF24" s="136"/>
      <c r="AG24" s="137"/>
      <c r="AI24" s="137"/>
      <c r="AJ24" s="137"/>
      <c r="AK24" s="138"/>
      <c r="AM24" s="136"/>
      <c r="AN24" s="137"/>
      <c r="AO24" s="137"/>
      <c r="AP24" s="137"/>
      <c r="AQ24" s="137"/>
      <c r="AR24" s="138"/>
    </row>
    <row r="25" spans="3:44" ht="15.75" x14ac:dyDescent="0.25">
      <c r="C25" s="89">
        <f t="shared" si="12"/>
        <v>28</v>
      </c>
      <c r="D25" s="89">
        <v>22</v>
      </c>
      <c r="E25" s="89">
        <v>0</v>
      </c>
      <c r="F25" s="89">
        <v>1</v>
      </c>
      <c r="G25" s="89">
        <v>0</v>
      </c>
      <c r="H25" s="89">
        <v>0</v>
      </c>
      <c r="I25" s="89" t="s">
        <v>9</v>
      </c>
      <c r="J25" s="89" t="s">
        <v>18</v>
      </c>
      <c r="K25" s="97">
        <v>150</v>
      </c>
      <c r="L25" s="95">
        <v>2400</v>
      </c>
      <c r="M25" s="92">
        <v>20</v>
      </c>
      <c r="N25" s="93">
        <v>28</v>
      </c>
      <c r="O25" s="89" t="str">
        <f t="shared" si="0"/>
        <v>$K$20:$K$28</v>
      </c>
      <c r="P25" s="89">
        <f ca="1">IF(is_cat,RANK(tracked,INDIRECT(tracked_range),0),"")</f>
        <v>3</v>
      </c>
      <c r="Q25" s="89" t="str">
        <f t="shared" si="1"/>
        <v>$L$20:$L$28</v>
      </c>
      <c r="R25" s="89">
        <f t="shared" ca="1" si="2"/>
        <v>6</v>
      </c>
      <c r="S25" s="84">
        <f t="shared" ca="1" si="3"/>
        <v>36</v>
      </c>
      <c r="T25" s="89" t="str">
        <f t="shared" si="4"/>
        <v>$S$20:$S$28</v>
      </c>
      <c r="U25" s="89">
        <f t="shared" ca="1" si="5"/>
        <v>3</v>
      </c>
      <c r="V25" s="89" t="str">
        <f t="shared" si="6"/>
        <v>$U$20:$U$25</v>
      </c>
      <c r="W25" s="91">
        <f t="shared" ca="1" si="7"/>
        <v>3</v>
      </c>
      <c r="X25" s="91">
        <f t="shared" ca="1" si="8"/>
        <v>25</v>
      </c>
      <c r="Y25" s="89" t="str">
        <f t="shared" ca="1" si="9"/>
        <v>UTILITIES</v>
      </c>
      <c r="Z25" s="96">
        <v>300</v>
      </c>
      <c r="AA25" s="113">
        <f t="shared" ca="1" si="11"/>
        <v>3600</v>
      </c>
      <c r="AB25" s="108">
        <v>0</v>
      </c>
      <c r="AC25" s="96">
        <v>3600</v>
      </c>
      <c r="AD25" s="111">
        <v>0</v>
      </c>
    </row>
    <row r="26" spans="3:44" ht="15.75" x14ac:dyDescent="0.25">
      <c r="C26" s="89">
        <f t="shared" si="12"/>
        <v>29</v>
      </c>
      <c r="D26" s="89">
        <v>22</v>
      </c>
      <c r="E26" s="89">
        <v>0</v>
      </c>
      <c r="F26" s="89">
        <v>1</v>
      </c>
      <c r="G26" s="89">
        <v>0</v>
      </c>
      <c r="H26" s="89">
        <v>0</v>
      </c>
      <c r="I26" s="89" t="s">
        <v>9</v>
      </c>
      <c r="J26" s="89" t="s">
        <v>70</v>
      </c>
      <c r="K26" s="98" t="s">
        <v>72</v>
      </c>
      <c r="L26" s="95">
        <v>2400</v>
      </c>
      <c r="M26" s="92">
        <v>20</v>
      </c>
      <c r="N26" s="93">
        <v>28</v>
      </c>
      <c r="O26" s="89" t="str">
        <f t="shared" si="0"/>
        <v>$K$20:$K$28</v>
      </c>
      <c r="P26" s="89">
        <v>5</v>
      </c>
      <c r="Q26" s="89" t="str">
        <f t="shared" si="1"/>
        <v>$L$20:$L$28</v>
      </c>
      <c r="R26" s="89">
        <f t="shared" ca="1" si="2"/>
        <v>6</v>
      </c>
      <c r="S26" s="84">
        <f t="shared" ca="1" si="3"/>
        <v>56</v>
      </c>
      <c r="T26" s="89" t="str">
        <f t="shared" si="4"/>
        <v>$S$20:$S$28</v>
      </c>
      <c r="U26" s="89">
        <f t="shared" ca="1" si="5"/>
        <v>7</v>
      </c>
      <c r="V26" s="89" t="str">
        <f t="shared" si="6"/>
        <v>$U$20:$U$26</v>
      </c>
      <c r="W26" s="91">
        <f t="shared" ca="1" si="7"/>
        <v>7</v>
      </c>
      <c r="X26" s="91">
        <f t="shared" ca="1" si="8"/>
        <v>29</v>
      </c>
      <c r="Y26" s="89" t="str">
        <f t="shared" ca="1" si="9"/>
        <v>BODY CARE &amp; MEDICINE</v>
      </c>
      <c r="Z26" s="96">
        <v>270</v>
      </c>
      <c r="AA26" s="113">
        <f t="shared" ca="1" si="11"/>
        <v>2400</v>
      </c>
      <c r="AB26" s="108">
        <v>0</v>
      </c>
      <c r="AC26" s="96">
        <v>2400</v>
      </c>
      <c r="AD26" s="111">
        <v>0</v>
      </c>
      <c r="AF26" s="131"/>
      <c r="AG26" s="132"/>
      <c r="AI26" s="132"/>
      <c r="AJ26" s="132"/>
      <c r="AK26" s="133"/>
      <c r="AM26" s="131"/>
      <c r="AN26" s="132"/>
      <c r="AO26" s="132"/>
      <c r="AP26" s="132"/>
      <c r="AQ26" s="132"/>
      <c r="AR26" s="133"/>
    </row>
    <row r="27" spans="3:44" ht="15.75" x14ac:dyDescent="0.25">
      <c r="C27" s="89">
        <f t="shared" si="12"/>
        <v>30</v>
      </c>
      <c r="D27" s="89">
        <v>22</v>
      </c>
      <c r="E27" s="89">
        <v>0</v>
      </c>
      <c r="F27" s="89">
        <v>1</v>
      </c>
      <c r="G27" s="89">
        <v>0</v>
      </c>
      <c r="H27" s="89">
        <v>0</v>
      </c>
      <c r="I27" s="89" t="s">
        <v>9</v>
      </c>
      <c r="J27" s="89" t="s">
        <v>20</v>
      </c>
      <c r="K27" s="98" t="s">
        <v>72</v>
      </c>
      <c r="L27" s="95">
        <v>600</v>
      </c>
      <c r="M27" s="92">
        <v>20</v>
      </c>
      <c r="N27" s="93">
        <v>28</v>
      </c>
      <c r="O27" s="89" t="str">
        <f t="shared" si="0"/>
        <v>$K$20:$K$28</v>
      </c>
      <c r="P27" s="89">
        <v>5</v>
      </c>
      <c r="Q27" s="89" t="str">
        <f t="shared" si="1"/>
        <v>$L$20:$L$28</v>
      </c>
      <c r="R27" s="89">
        <f t="shared" ca="1" si="2"/>
        <v>8</v>
      </c>
      <c r="S27" s="84">
        <f t="shared" ca="1" si="3"/>
        <v>58</v>
      </c>
      <c r="T27" s="89" t="str">
        <f t="shared" si="4"/>
        <v>$S$20:$S$28</v>
      </c>
      <c r="U27" s="89">
        <f t="shared" ca="1" si="5"/>
        <v>8</v>
      </c>
      <c r="V27" s="89" t="str">
        <f t="shared" si="6"/>
        <v>$U$20:$U$27</v>
      </c>
      <c r="W27" s="91">
        <f t="shared" ca="1" si="7"/>
        <v>9</v>
      </c>
      <c r="X27" s="91">
        <f t="shared" ca="1" si="8"/>
        <v>31</v>
      </c>
      <c r="Y27" s="89" t="str">
        <f t="shared" ca="1" si="9"/>
        <v>INSURANCES</v>
      </c>
      <c r="Z27" s="96"/>
      <c r="AA27" s="113">
        <f t="shared" ca="1" si="11"/>
        <v>600</v>
      </c>
      <c r="AB27" s="108">
        <v>0</v>
      </c>
      <c r="AC27" s="96">
        <v>600</v>
      </c>
      <c r="AD27" s="111">
        <v>0</v>
      </c>
      <c r="AF27" s="134"/>
      <c r="AK27" s="135"/>
      <c r="AM27" s="134"/>
      <c r="AR27" s="135"/>
    </row>
    <row r="28" spans="3:44" ht="15.75" x14ac:dyDescent="0.25">
      <c r="C28" s="89">
        <v>31</v>
      </c>
      <c r="D28" s="89">
        <v>22</v>
      </c>
      <c r="E28" s="89">
        <v>0</v>
      </c>
      <c r="F28" s="89">
        <v>1</v>
      </c>
      <c r="G28" s="89">
        <v>0</v>
      </c>
      <c r="H28" s="89">
        <v>0</v>
      </c>
      <c r="I28" s="89" t="s">
        <v>9</v>
      </c>
      <c r="J28" s="89" t="s">
        <v>71</v>
      </c>
      <c r="K28" s="98" t="s">
        <v>72</v>
      </c>
      <c r="L28" s="95">
        <v>6000</v>
      </c>
      <c r="M28" s="92">
        <v>20</v>
      </c>
      <c r="N28" s="93">
        <v>28</v>
      </c>
      <c r="O28" s="89" t="str">
        <f t="shared" si="0"/>
        <v>$K$20:$K$28</v>
      </c>
      <c r="P28" s="89">
        <v>5</v>
      </c>
      <c r="Q28" s="89" t="str">
        <f t="shared" si="1"/>
        <v>$L$20:$L$28</v>
      </c>
      <c r="R28" s="89">
        <f t="shared" ca="1" si="2"/>
        <v>2</v>
      </c>
      <c r="S28" s="84">
        <f t="shared" ca="1" si="3"/>
        <v>52</v>
      </c>
      <c r="T28" s="89" t="str">
        <f t="shared" si="4"/>
        <v>$S$20:$S$28</v>
      </c>
      <c r="U28" s="89">
        <f t="shared" ca="1" si="5"/>
        <v>5</v>
      </c>
      <c r="V28" s="89" t="str">
        <f t="shared" si="6"/>
        <v>$U$20:$U$28</v>
      </c>
      <c r="W28" s="91">
        <f t="shared" ca="1" si="7"/>
        <v>5</v>
      </c>
      <c r="X28" s="91">
        <f t="shared" ca="1" si="8"/>
        <v>27</v>
      </c>
      <c r="Y28" s="100" t="str">
        <f t="shared" ca="1" si="9"/>
        <v>MEDIA</v>
      </c>
      <c r="Z28" s="114">
        <v>70</v>
      </c>
      <c r="AA28" s="115">
        <f t="shared" ca="1" si="11"/>
        <v>600</v>
      </c>
      <c r="AB28" s="109">
        <v>0</v>
      </c>
      <c r="AC28" s="114">
        <v>600</v>
      </c>
      <c r="AD28" s="112">
        <v>0</v>
      </c>
      <c r="AF28" s="134"/>
      <c r="AH28" s="137"/>
      <c r="AK28" s="135"/>
      <c r="AM28" s="134"/>
      <c r="AR28" s="135"/>
    </row>
    <row r="29" spans="3:44" ht="15.75" x14ac:dyDescent="0.25">
      <c r="C29" s="89">
        <v>36</v>
      </c>
      <c r="D29" s="89">
        <v>22</v>
      </c>
      <c r="E29" s="89">
        <v>0</v>
      </c>
      <c r="F29" s="89">
        <v>0</v>
      </c>
      <c r="G29" s="89">
        <v>1</v>
      </c>
      <c r="H29" s="89">
        <v>0</v>
      </c>
      <c r="I29" s="89" t="s">
        <v>9</v>
      </c>
      <c r="J29" s="91" t="s">
        <v>5</v>
      </c>
      <c r="K29" s="25">
        <f>SUM(K20:K25)</f>
        <v>1650</v>
      </c>
      <c r="L29" s="95">
        <f>SUM(L20:L28)</f>
        <v>37800</v>
      </c>
      <c r="M29" s="92" t="str" cm="1">
        <f t="array" ref="M29">IF(is_cat,IF(header_row_id=INCOME_HEADER_ROW,MATCH(INCOME_MIN_ROW,$C:$C,0),""),"")</f>
        <v/>
      </c>
      <c r="N29" s="93"/>
      <c r="O29" s="89" t="str">
        <f t="shared" si="0"/>
        <v/>
      </c>
      <c r="P29" s="89" t="str">
        <f ca="1">IF(is_cat,RANK(tracked,INDIRECT(tracked_range),0),"")</f>
        <v/>
      </c>
      <c r="Q29" s="89" t="str">
        <f t="shared" si="1"/>
        <v/>
      </c>
      <c r="R29" s="89" t="str">
        <f t="shared" ca="1" si="2"/>
        <v/>
      </c>
      <c r="S29" s="84" t="str">
        <f t="shared" si="3"/>
        <v/>
      </c>
      <c r="T29" s="89" t="str">
        <f t="shared" si="4"/>
        <v/>
      </c>
      <c r="U29" s="89" t="str">
        <f t="shared" ca="1" si="5"/>
        <v/>
      </c>
      <c r="V29" s="89" t="str">
        <f t="shared" si="6"/>
        <v/>
      </c>
      <c r="W29" s="91" t="str">
        <f t="shared" ca="1" si="7"/>
        <v/>
      </c>
      <c r="X29" s="91">
        <f t="shared" si="8"/>
        <v>36</v>
      </c>
      <c r="Y29" s="126" t="str">
        <f t="shared" ca="1" si="9"/>
        <v>TOTAL</v>
      </c>
      <c r="Z29" s="127">
        <v>3010</v>
      </c>
      <c r="AA29" s="128">
        <f t="shared" ca="1" si="11"/>
        <v>37800</v>
      </c>
      <c r="AB29" s="129">
        <f ca="1">IF(is_empty,"",IF(is_header,"%Compl.",IFERROR(out_tracked/out_budget,"-")))</f>
        <v>7.9629629629629634E-2</v>
      </c>
      <c r="AC29" s="127">
        <f ca="1">IF(is_empty,"",IF(is_header,"Remaining",IF(out_budget-out_tracked&gt;0,out_budget-out_tracked,0)))</f>
        <v>34790</v>
      </c>
      <c r="AD29" s="130">
        <v>0</v>
      </c>
      <c r="AF29" s="134"/>
      <c r="AK29" s="135"/>
      <c r="AM29" s="134"/>
      <c r="AR29" s="135"/>
    </row>
    <row r="30" spans="3:44" ht="15.75" x14ac:dyDescent="0.25">
      <c r="C30" s="89"/>
      <c r="D30" s="89">
        <v>-1</v>
      </c>
      <c r="E30" s="89"/>
      <c r="F30" s="89">
        <v>0</v>
      </c>
      <c r="G30" s="89"/>
      <c r="H30" s="89">
        <v>1</v>
      </c>
      <c r="I30" s="89"/>
      <c r="J30" s="89"/>
      <c r="K30" s="94"/>
      <c r="L30" s="95"/>
      <c r="M30" s="92" t="str" cm="1">
        <f t="array" ref="M30">IF(is_cat,IF(header_row_id=INCOME_HEADER_ROW,MATCH(INCOME_MIN_ROW,$C:$C,0),""),"")</f>
        <v/>
      </c>
      <c r="N30" s="93"/>
      <c r="O30" s="89" t="str">
        <f t="shared" si="0"/>
        <v/>
      </c>
      <c r="P30" s="89" t="str">
        <f ca="1">IF(is_cat,RANK(tracked,INDIRECT(tracked_range),0),"")</f>
        <v/>
      </c>
      <c r="Q30" s="89" t="str">
        <f t="shared" si="1"/>
        <v/>
      </c>
      <c r="R30" s="89" t="str">
        <f t="shared" ca="1" si="2"/>
        <v/>
      </c>
      <c r="S30" s="84" t="str">
        <f t="shared" si="3"/>
        <v/>
      </c>
      <c r="T30" s="89" t="str">
        <f t="shared" si="4"/>
        <v/>
      </c>
      <c r="U30" s="89" t="str">
        <f t="shared" ca="1" si="5"/>
        <v/>
      </c>
      <c r="V30" s="89" t="str">
        <f t="shared" si="6"/>
        <v/>
      </c>
      <c r="W30" s="91" t="str">
        <f t="shared" ca="1" si="7"/>
        <v/>
      </c>
      <c r="X30" s="91">
        <f t="shared" si="8"/>
        <v>0</v>
      </c>
      <c r="Y30" s="89" t="str">
        <f t="shared" si="9"/>
        <v/>
      </c>
      <c r="Z30" s="96" t="str">
        <f t="shared" si="10"/>
        <v/>
      </c>
      <c r="AA30" s="113" t="str">
        <f t="shared" si="11"/>
        <v/>
      </c>
      <c r="AB30" s="108" t="str">
        <f>IF(is_empty,"",IF(is_header,"%Compl.",IFERROR(out_tracked/out_budget,"-")))</f>
        <v/>
      </c>
      <c r="AC30" s="96" t="str">
        <f>IF(is_empty,"",IF(is_header,"Remaining",IF(out_budget-out_tracked&gt;0,out_budget-out_tracked,0)))</f>
        <v/>
      </c>
      <c r="AD30" s="111">
        <v>0</v>
      </c>
      <c r="AF30" s="134"/>
      <c r="AH30" s="160"/>
      <c r="AI30" s="80" t="s">
        <v>92</v>
      </c>
      <c r="AJ30" s="145">
        <v>1200</v>
      </c>
      <c r="AK30" s="135"/>
      <c r="AM30" s="134"/>
      <c r="AO30" s="157"/>
      <c r="AP30" s="80" t="s">
        <v>97</v>
      </c>
      <c r="AQ30" s="145">
        <v>500</v>
      </c>
      <c r="AR30" s="135"/>
    </row>
    <row r="31" spans="3:44" ht="15.75" x14ac:dyDescent="0.25">
      <c r="C31" s="89">
        <v>38</v>
      </c>
      <c r="D31" s="89">
        <v>38</v>
      </c>
      <c r="E31" s="89">
        <v>1</v>
      </c>
      <c r="F31" s="89">
        <v>0</v>
      </c>
      <c r="G31" s="89">
        <v>0</v>
      </c>
      <c r="H31" s="89">
        <v>0</v>
      </c>
      <c r="I31" s="89" t="s">
        <v>13</v>
      </c>
      <c r="J31" s="89" t="s">
        <v>13</v>
      </c>
      <c r="K31" s="94"/>
      <c r="L31" s="95"/>
      <c r="M31" s="92" t="str" cm="1">
        <f t="array" ref="M31">IF(is_cat,IF(header_row_id=INCOME_HEADER_ROW,MATCH(INCOME_MIN_ROW,$C:$C,0),""),"")</f>
        <v/>
      </c>
      <c r="N31" s="93"/>
      <c r="O31" s="89" t="str">
        <f t="shared" si="0"/>
        <v/>
      </c>
      <c r="P31" s="89" t="str">
        <f ca="1">IF(is_cat,RANK(tracked,INDIRECT(tracked_range),0),"")</f>
        <v/>
      </c>
      <c r="Q31" s="89" t="str">
        <f t="shared" si="1"/>
        <v/>
      </c>
      <c r="R31" s="89" t="str">
        <f t="shared" ca="1" si="2"/>
        <v/>
      </c>
      <c r="S31" s="84" t="str">
        <f t="shared" si="3"/>
        <v/>
      </c>
      <c r="T31" s="89" t="str">
        <f t="shared" si="4"/>
        <v/>
      </c>
      <c r="U31" s="89" t="str">
        <f t="shared" ca="1" si="5"/>
        <v/>
      </c>
      <c r="V31" s="89" t="str">
        <f t="shared" si="6"/>
        <v/>
      </c>
      <c r="W31" s="91" t="str">
        <f t="shared" ca="1" si="7"/>
        <v/>
      </c>
      <c r="X31" s="91">
        <f t="shared" si="8"/>
        <v>38</v>
      </c>
      <c r="Y31" s="152" t="str">
        <f t="shared" ca="1" si="9"/>
        <v>SAVINGS</v>
      </c>
      <c r="Z31" s="153" t="str">
        <f t="shared" si="10"/>
        <v>TRACKED</v>
      </c>
      <c r="AA31" s="154" t="str">
        <f t="shared" si="11"/>
        <v>BUDGET</v>
      </c>
      <c r="AB31" s="155" t="str">
        <f>IF(is_empty,"",IF(is_header,"%Compl.",IFERROR(out_tracked/out_budget,"-")))</f>
        <v>%Compl.</v>
      </c>
      <c r="AC31" s="153" t="str">
        <f>IF(is_empty,"",IF(is_header,"Remaining",IF(out_budget-out_tracked&gt;0,out_budget-out_tracked,0)))</f>
        <v>Remaining</v>
      </c>
      <c r="AD31" s="156" t="str">
        <f>IF(is_empty,"",IF(is_header,"Excess",IF(out_budget-out_tracked&lt;0,out_tracked-out_budget,0)))</f>
        <v>Excess</v>
      </c>
      <c r="AF31" s="134"/>
      <c r="AH31" s="161"/>
      <c r="AI31" s="80" t="s">
        <v>93</v>
      </c>
      <c r="AJ31" s="145">
        <v>400</v>
      </c>
      <c r="AK31" s="135"/>
      <c r="AM31" s="134"/>
      <c r="AO31" s="158"/>
      <c r="AP31" s="80" t="s">
        <v>98</v>
      </c>
      <c r="AQ31" s="145">
        <v>400</v>
      </c>
      <c r="AR31" s="135"/>
    </row>
    <row r="32" spans="3:44" ht="15.75" x14ac:dyDescent="0.25">
      <c r="C32" s="89">
        <f t="shared" si="12"/>
        <v>39</v>
      </c>
      <c r="D32" s="89">
        <v>38</v>
      </c>
      <c r="E32" s="89">
        <v>0</v>
      </c>
      <c r="F32" s="89">
        <v>1</v>
      </c>
      <c r="G32" s="89">
        <v>0</v>
      </c>
      <c r="H32" s="89">
        <v>0</v>
      </c>
      <c r="I32" s="89" t="s">
        <v>13</v>
      </c>
      <c r="J32" s="89" t="s">
        <v>22</v>
      </c>
      <c r="K32" s="94">
        <v>1000</v>
      </c>
      <c r="L32" s="95">
        <v>3000</v>
      </c>
      <c r="M32" s="92">
        <v>32</v>
      </c>
      <c r="N32" s="93">
        <v>36</v>
      </c>
      <c r="O32" s="89" t="str">
        <f t="shared" si="0"/>
        <v>$K$32:$K$36</v>
      </c>
      <c r="P32" s="89">
        <f ca="1">IF(is_cat,RANK(tracked,INDIRECT(tracked_range),0),"")</f>
        <v>1</v>
      </c>
      <c r="Q32" s="89" t="str">
        <f t="shared" si="1"/>
        <v>$L$32:$L$36</v>
      </c>
      <c r="R32" s="89">
        <f t="shared" ca="1" si="2"/>
        <v>4</v>
      </c>
      <c r="S32" s="84">
        <f t="shared" ca="1" si="3"/>
        <v>14</v>
      </c>
      <c r="T32" s="89" t="str">
        <f t="shared" si="4"/>
        <v>$S$32:$S$36</v>
      </c>
      <c r="U32" s="89">
        <f t="shared" ca="1" si="5"/>
        <v>1</v>
      </c>
      <c r="V32" s="89" t="str">
        <f t="shared" si="6"/>
        <v>$U$32:$U$32</v>
      </c>
      <c r="W32" s="91">
        <f t="shared" ca="1" si="7"/>
        <v>1</v>
      </c>
      <c r="X32" s="91">
        <f t="shared" ca="1" si="8"/>
        <v>39</v>
      </c>
      <c r="Y32" s="89" t="str">
        <f t="shared" ca="1" si="9"/>
        <v>EMERGENCY FUND</v>
      </c>
      <c r="Z32" s="96">
        <v>500</v>
      </c>
      <c r="AA32" s="113">
        <f t="shared" ca="1" si="11"/>
        <v>3000</v>
      </c>
      <c r="AB32" s="108">
        <f ca="1">IF(is_empty,"",IF(is_header,"%Compl.",IFERROR(out_tracked/out_budget,"-")))</f>
        <v>0.16666666666666666</v>
      </c>
      <c r="AC32" s="96">
        <f ca="1">IF(is_empty,"",IF(is_header,"Remaining",IF(out_budget-out_tracked&gt;0,out_budget-out_tracked,0)))</f>
        <v>2500</v>
      </c>
      <c r="AD32" s="111">
        <f ca="1">IF(is_empty,"",IF(is_header,"Excess",IF(out_budget-out_tracked&lt;0,out_tracked-out_budget,0)))</f>
        <v>0</v>
      </c>
      <c r="AF32" s="134"/>
      <c r="AH32" s="159"/>
      <c r="AI32" s="80" t="s">
        <v>94</v>
      </c>
      <c r="AJ32" s="145">
        <v>380</v>
      </c>
      <c r="AK32" s="135"/>
      <c r="AM32" s="134"/>
      <c r="AO32" s="174"/>
      <c r="AP32" s="80" t="s">
        <v>99</v>
      </c>
      <c r="AQ32" s="145">
        <v>140</v>
      </c>
      <c r="AR32" s="135"/>
    </row>
    <row r="33" spans="3:44" ht="15.75" x14ac:dyDescent="0.25">
      <c r="C33" s="89">
        <f t="shared" si="12"/>
        <v>40</v>
      </c>
      <c r="D33" s="89">
        <v>38</v>
      </c>
      <c r="E33" s="89">
        <v>0</v>
      </c>
      <c r="F33" s="89">
        <v>1</v>
      </c>
      <c r="G33" s="89">
        <v>0</v>
      </c>
      <c r="H33" s="89">
        <v>0</v>
      </c>
      <c r="I33" s="89" t="s">
        <v>13</v>
      </c>
      <c r="J33" s="89" t="s">
        <v>23</v>
      </c>
      <c r="K33" s="96" t="s">
        <v>72</v>
      </c>
      <c r="L33" s="95">
        <v>4800</v>
      </c>
      <c r="M33" s="92">
        <v>32</v>
      </c>
      <c r="N33" s="93">
        <v>36</v>
      </c>
      <c r="O33" s="89" t="str">
        <f t="shared" si="0"/>
        <v>$K$32:$K$36</v>
      </c>
      <c r="P33" s="89">
        <v>3</v>
      </c>
      <c r="Q33" s="89" t="str">
        <f t="shared" si="1"/>
        <v>$L$32:$L$36</v>
      </c>
      <c r="R33" s="89">
        <f t="shared" ca="1" si="2"/>
        <v>3</v>
      </c>
      <c r="S33" s="84">
        <f t="shared" ca="1" si="3"/>
        <v>33</v>
      </c>
      <c r="T33" s="89" t="str">
        <f t="shared" si="4"/>
        <v>$S$32:$S$36</v>
      </c>
      <c r="U33" s="89">
        <f t="shared" ca="1" si="5"/>
        <v>4</v>
      </c>
      <c r="V33" s="89" t="str">
        <f t="shared" si="6"/>
        <v>$U$32:$U$33</v>
      </c>
      <c r="W33" s="91">
        <f t="shared" ca="1" si="7"/>
        <v>4</v>
      </c>
      <c r="X33" s="91">
        <f t="shared" ca="1" si="8"/>
        <v>42</v>
      </c>
      <c r="Y33" s="89" t="str">
        <f t="shared" ca="1" si="9"/>
        <v>STOCK PORTFOLIO</v>
      </c>
      <c r="Z33" s="96">
        <v>400</v>
      </c>
      <c r="AA33" s="113">
        <f t="shared" ca="1" si="11"/>
        <v>7200</v>
      </c>
      <c r="AB33" s="108">
        <f ca="1">IF(is_empty,"",IF(is_header,"%Compl.",IFERROR(out_tracked/out_budget,"-")))</f>
        <v>5.5555555555555552E-2</v>
      </c>
      <c r="AC33" s="96">
        <f ca="1">IF(is_empty,"",IF(is_header,"Remaining",IF(out_budget-out_tracked&gt;0,out_budget-out_tracked,0)))</f>
        <v>6800</v>
      </c>
      <c r="AD33" s="111">
        <f ca="1">IF(is_empty,"",IF(is_header,"Excess",IF(out_budget-out_tracked&lt;0,out_tracked-out_budget,0)))</f>
        <v>0</v>
      </c>
      <c r="AF33" s="134"/>
      <c r="AH33" s="161"/>
      <c r="AI33" s="80" t="s">
        <v>95</v>
      </c>
      <c r="AJ33" s="145">
        <v>300</v>
      </c>
      <c r="AK33" s="135"/>
      <c r="AM33" s="134"/>
      <c r="AO33" s="175"/>
      <c r="AP33" s="80" t="s">
        <v>118</v>
      </c>
      <c r="AQ33" s="145">
        <v>400</v>
      </c>
      <c r="AR33" s="135"/>
    </row>
    <row r="34" spans="3:44" ht="15.75" x14ac:dyDescent="0.25">
      <c r="C34" s="89">
        <f t="shared" si="12"/>
        <v>41</v>
      </c>
      <c r="D34" s="89">
        <v>38</v>
      </c>
      <c r="E34" s="89">
        <v>0</v>
      </c>
      <c r="F34" s="89">
        <v>1</v>
      </c>
      <c r="G34" s="89">
        <v>0</v>
      </c>
      <c r="H34" s="89">
        <v>0</v>
      </c>
      <c r="I34" s="89" t="s">
        <v>13</v>
      </c>
      <c r="J34" s="89" t="s">
        <v>24</v>
      </c>
      <c r="K34" s="94">
        <v>500</v>
      </c>
      <c r="L34" s="95">
        <v>7200</v>
      </c>
      <c r="M34" s="92">
        <v>32</v>
      </c>
      <c r="N34" s="93">
        <v>36</v>
      </c>
      <c r="O34" s="89" t="str">
        <f t="shared" si="0"/>
        <v>$K$32:$K$36</v>
      </c>
      <c r="P34" s="89">
        <f ca="1">IF(is_cat,RANK(tracked,INDIRECT(tracked_range),0),"")</f>
        <v>2</v>
      </c>
      <c r="Q34" s="89" t="str">
        <f t="shared" si="1"/>
        <v>$L$32:$L$36</v>
      </c>
      <c r="R34" s="89">
        <f t="shared" ca="1" si="2"/>
        <v>2</v>
      </c>
      <c r="S34" s="84">
        <f t="shared" ca="1" si="3"/>
        <v>22</v>
      </c>
      <c r="T34" s="89" t="str">
        <f t="shared" si="4"/>
        <v>$S$32:$S$36</v>
      </c>
      <c r="U34" s="89">
        <f t="shared" ca="1" si="5"/>
        <v>2</v>
      </c>
      <c r="V34" s="89" t="str">
        <f t="shared" si="6"/>
        <v>$U$32:$U$34</v>
      </c>
      <c r="W34" s="91">
        <f t="shared" ca="1" si="7"/>
        <v>2</v>
      </c>
      <c r="X34" s="91">
        <f t="shared" ca="1" si="8"/>
        <v>40</v>
      </c>
      <c r="Y34" s="89" t="str">
        <f t="shared" ca="1" si="9"/>
        <v>SINKING FUND DOWN PAYMENT</v>
      </c>
      <c r="Z34" s="96">
        <v>140</v>
      </c>
      <c r="AA34" s="113">
        <f t="shared" ca="1" si="11"/>
        <v>10200</v>
      </c>
      <c r="AB34" s="108">
        <v>0</v>
      </c>
      <c r="AC34" s="96">
        <v>10200</v>
      </c>
      <c r="AD34" s="111">
        <v>0</v>
      </c>
      <c r="AF34" s="134"/>
      <c r="AH34" s="162"/>
      <c r="AI34" s="80" t="s">
        <v>96</v>
      </c>
      <c r="AJ34" s="145">
        <v>270</v>
      </c>
      <c r="AK34" s="135"/>
      <c r="AM34" s="134"/>
      <c r="AO34" s="157"/>
      <c r="AP34" s="80" t="s">
        <v>119</v>
      </c>
      <c r="AQ34" s="145">
        <v>140</v>
      </c>
      <c r="AR34" s="135"/>
    </row>
    <row r="35" spans="3:44" ht="16.5" thickBot="1" x14ac:dyDescent="0.3">
      <c r="C35" s="89">
        <f t="shared" si="12"/>
        <v>42</v>
      </c>
      <c r="D35" s="89">
        <v>38</v>
      </c>
      <c r="E35" s="89">
        <v>0</v>
      </c>
      <c r="F35" s="89">
        <v>1</v>
      </c>
      <c r="G35" s="89">
        <v>0</v>
      </c>
      <c r="H35" s="89">
        <v>0</v>
      </c>
      <c r="I35" s="89" t="s">
        <v>13</v>
      </c>
      <c r="J35" s="89" t="s">
        <v>25</v>
      </c>
      <c r="K35" s="96" t="s">
        <v>72</v>
      </c>
      <c r="L35" s="95">
        <v>10200</v>
      </c>
      <c r="M35" s="92">
        <v>32</v>
      </c>
      <c r="N35" s="93">
        <v>36</v>
      </c>
      <c r="O35" s="89" t="str">
        <f t="shared" si="0"/>
        <v>$K$32:$K$36</v>
      </c>
      <c r="P35" s="89">
        <v>3</v>
      </c>
      <c r="Q35" s="89" t="str">
        <f t="shared" si="1"/>
        <v>$L$32:$L$36</v>
      </c>
      <c r="R35" s="89">
        <f t="shared" ca="1" si="2"/>
        <v>1</v>
      </c>
      <c r="S35" s="84">
        <f t="shared" ca="1" si="3"/>
        <v>31</v>
      </c>
      <c r="T35" s="89" t="str">
        <f t="shared" si="4"/>
        <v>$S$32:$S$36</v>
      </c>
      <c r="U35" s="89">
        <f t="shared" ca="1" si="5"/>
        <v>3</v>
      </c>
      <c r="V35" s="89" t="str">
        <f t="shared" si="6"/>
        <v>$U$32:$U$35</v>
      </c>
      <c r="W35" s="91">
        <f t="shared" ca="1" si="7"/>
        <v>3</v>
      </c>
      <c r="X35" s="91">
        <f t="shared" ca="1" si="8"/>
        <v>41</v>
      </c>
      <c r="Y35" s="89" t="str">
        <f t="shared" ca="1" si="9"/>
        <v>RETIREMENT ACCOUNT</v>
      </c>
      <c r="Z35" s="96">
        <v>800</v>
      </c>
      <c r="AA35" s="113">
        <f t="shared" ca="1" si="11"/>
        <v>4800</v>
      </c>
      <c r="AB35" s="108">
        <v>0</v>
      </c>
      <c r="AC35" s="96">
        <v>4800</v>
      </c>
      <c r="AD35" s="111">
        <v>0</v>
      </c>
      <c r="AF35" s="134"/>
      <c r="AI35" s="143" t="s">
        <v>88</v>
      </c>
      <c r="AJ35" s="145">
        <v>460</v>
      </c>
      <c r="AK35" s="135"/>
      <c r="AM35" s="134"/>
      <c r="AO35" s="176"/>
      <c r="AP35" s="143" t="s">
        <v>88</v>
      </c>
      <c r="AQ35" s="145">
        <v>850</v>
      </c>
      <c r="AR35" s="135"/>
    </row>
    <row r="36" spans="3:44" ht="16.5" thickTop="1" x14ac:dyDescent="0.25">
      <c r="C36" s="89">
        <f t="shared" si="12"/>
        <v>43</v>
      </c>
      <c r="D36" s="89">
        <v>38</v>
      </c>
      <c r="E36" s="89">
        <v>0</v>
      </c>
      <c r="F36" s="89">
        <v>1</v>
      </c>
      <c r="G36" s="89">
        <v>0</v>
      </c>
      <c r="H36" s="89">
        <v>0</v>
      </c>
      <c r="I36" s="89" t="s">
        <v>13</v>
      </c>
      <c r="J36" s="89" t="s">
        <v>26</v>
      </c>
      <c r="K36" s="96" t="s">
        <v>72</v>
      </c>
      <c r="L36" s="95">
        <v>1200</v>
      </c>
      <c r="M36" s="92">
        <v>32</v>
      </c>
      <c r="N36" s="93">
        <v>36</v>
      </c>
      <c r="O36" s="89" t="str">
        <f t="shared" si="0"/>
        <v>$K$32:$K$36</v>
      </c>
      <c r="P36" s="89">
        <v>3</v>
      </c>
      <c r="Q36" s="89" t="str">
        <f t="shared" si="1"/>
        <v>$L$32:$L$36</v>
      </c>
      <c r="R36" s="89">
        <f t="shared" ca="1" si="2"/>
        <v>5</v>
      </c>
      <c r="S36" s="84">
        <f t="shared" ca="1" si="3"/>
        <v>35</v>
      </c>
      <c r="T36" s="89" t="str">
        <f t="shared" si="4"/>
        <v>$S$32:$S$36</v>
      </c>
      <c r="U36" s="89">
        <f t="shared" ca="1" si="5"/>
        <v>5</v>
      </c>
      <c r="V36" s="89" t="str">
        <f t="shared" si="6"/>
        <v>$U$32:$U$36</v>
      </c>
      <c r="W36" s="91">
        <f t="shared" ca="1" si="7"/>
        <v>5</v>
      </c>
      <c r="X36" s="91">
        <f t="shared" ca="1" si="8"/>
        <v>43</v>
      </c>
      <c r="Y36" s="100" t="str">
        <f t="shared" ca="1" si="9"/>
        <v>SINKING FUND REST</v>
      </c>
      <c r="Z36" s="114">
        <v>400</v>
      </c>
      <c r="AA36" s="115">
        <f t="shared" ca="1" si="11"/>
        <v>1200</v>
      </c>
      <c r="AB36" s="109">
        <v>0</v>
      </c>
      <c r="AC36" s="114">
        <v>1200</v>
      </c>
      <c r="AD36" s="112">
        <v>0</v>
      </c>
      <c r="AF36" s="134"/>
      <c r="AI36" s="148" t="s">
        <v>5</v>
      </c>
      <c r="AJ36" s="149">
        <f>SUM(AJ30:AK35)</f>
        <v>3010</v>
      </c>
      <c r="AK36" s="135"/>
      <c r="AM36" s="134"/>
      <c r="AP36" s="148" t="s">
        <v>5</v>
      </c>
      <c r="AQ36" s="149">
        <f>SUM(AQ30:AR35)</f>
        <v>2430</v>
      </c>
      <c r="AR36" s="135"/>
    </row>
    <row r="37" spans="3:44" ht="15.75" x14ac:dyDescent="0.25">
      <c r="C37" s="89">
        <f>49</f>
        <v>49</v>
      </c>
      <c r="D37" s="89">
        <v>38</v>
      </c>
      <c r="E37" s="89">
        <v>0</v>
      </c>
      <c r="F37" s="89">
        <v>0</v>
      </c>
      <c r="G37" s="89">
        <v>1</v>
      </c>
      <c r="H37" s="89">
        <v>0</v>
      </c>
      <c r="I37" s="89" t="s">
        <v>13</v>
      </c>
      <c r="J37" s="91" t="s">
        <v>5</v>
      </c>
      <c r="K37" s="25">
        <f>SUM(K32:K34)</f>
        <v>1500</v>
      </c>
      <c r="L37" s="95">
        <f>SUM(L32:L36)</f>
        <v>26400</v>
      </c>
      <c r="M37" s="92" t="str" cm="1">
        <f t="array" ref="M37">IF(is_cat,IF(header_row_id=INCOME_HEADER_ROW,MATCH(INCOME_MIN_ROW,$C:$C,0),""),"")</f>
        <v/>
      </c>
      <c r="N37" s="93"/>
      <c r="O37" s="89" t="str">
        <f t="shared" si="0"/>
        <v/>
      </c>
      <c r="P37" s="89" t="str">
        <f t="shared" ref="P37:P50" ca="1" si="16">IF(is_cat,RANK(tracked,INDIRECT(tracked_range),0),"")</f>
        <v/>
      </c>
      <c r="Q37" s="89" t="str">
        <f t="shared" si="1"/>
        <v/>
      </c>
      <c r="R37" s="89" t="str">
        <f t="shared" ca="1" si="2"/>
        <v/>
      </c>
      <c r="S37" s="84" t="str">
        <f t="shared" si="3"/>
        <v/>
      </c>
      <c r="T37" s="89" t="str">
        <f t="shared" si="4"/>
        <v/>
      </c>
      <c r="U37" s="89" t="str">
        <f t="shared" ca="1" si="5"/>
        <v/>
      </c>
      <c r="V37" s="89" t="str">
        <f t="shared" si="6"/>
        <v/>
      </c>
      <c r="W37" s="91" t="str">
        <f t="shared" ca="1" si="7"/>
        <v/>
      </c>
      <c r="X37" s="91">
        <f t="shared" si="8"/>
        <v>49</v>
      </c>
      <c r="Y37" s="126" t="str">
        <f t="shared" ca="1" si="9"/>
        <v>TOTAL</v>
      </c>
      <c r="Z37" s="127">
        <v>1040</v>
      </c>
      <c r="AA37" s="128">
        <f t="shared" ca="1" si="11"/>
        <v>26400</v>
      </c>
      <c r="AB37" s="129">
        <f ca="1">IF(is_empty,"",IF(is_header,"%Compl.",IFERROR(out_tracked/out_budget,"-")))</f>
        <v>3.9393939393939391E-2</v>
      </c>
      <c r="AC37" s="127">
        <f ca="1">IF(is_empty,"",IF(is_header,"Remaining",IF(out_budget-out_tracked&gt;0,out_budget-out_tracked,0)))</f>
        <v>25360</v>
      </c>
      <c r="AD37" s="130">
        <f ca="1">IF(is_empty,"",IF(is_header,"Excess",IF(out_budget-out_tracked&lt;0,out_tracked-out_budget,0)))</f>
        <v>0</v>
      </c>
      <c r="AF37" s="136"/>
      <c r="AG37" s="137"/>
      <c r="AI37" s="137"/>
      <c r="AJ37" s="137"/>
      <c r="AK37" s="138"/>
      <c r="AM37" s="136"/>
      <c r="AN37" s="137"/>
      <c r="AP37" s="137"/>
      <c r="AQ37" s="137"/>
      <c r="AR37" s="138"/>
    </row>
    <row r="38" spans="3:44" ht="15.75" x14ac:dyDescent="0.25">
      <c r="C38" s="89">
        <v>-1</v>
      </c>
      <c r="D38" s="89">
        <v>-1</v>
      </c>
      <c r="E38" s="89">
        <v>0</v>
      </c>
      <c r="F38" s="89">
        <v>0</v>
      </c>
      <c r="G38" s="89">
        <v>0</v>
      </c>
      <c r="H38" s="89">
        <v>1</v>
      </c>
      <c r="I38" s="89"/>
      <c r="J38" s="89"/>
      <c r="K38" s="89"/>
      <c r="L38" s="91"/>
      <c r="M38" s="92" t="str" cm="1">
        <f t="array" ref="M38">IF(is_cat,IF(header_row_id=INCOME_HEADER_ROW,MATCH(INCOME_MIN_ROW,$C:$C,0),""),"")</f>
        <v/>
      </c>
      <c r="N38" s="93"/>
      <c r="O38" s="89" t="str">
        <f t="shared" si="0"/>
        <v/>
      </c>
      <c r="P38" s="89" t="str">
        <f t="shared" ca="1" si="16"/>
        <v/>
      </c>
      <c r="Q38" s="89" t="str">
        <f t="shared" si="1"/>
        <v/>
      </c>
      <c r="R38" s="89" t="str">
        <f t="shared" ca="1" si="2"/>
        <v/>
      </c>
      <c r="S38" s="84" t="str">
        <f t="shared" si="3"/>
        <v/>
      </c>
      <c r="T38" s="89" t="str">
        <f t="shared" si="4"/>
        <v/>
      </c>
      <c r="U38" s="89" t="str">
        <f t="shared" ca="1" si="5"/>
        <v/>
      </c>
      <c r="V38" s="89" t="str">
        <f t="shared" si="6"/>
        <v/>
      </c>
      <c r="W38" s="91" t="str">
        <f t="shared" ca="1" si="7"/>
        <v/>
      </c>
      <c r="X38" s="91">
        <f t="shared" si="8"/>
        <v>-1</v>
      </c>
    </row>
    <row r="39" spans="3:44" ht="15.75" x14ac:dyDescent="0.25">
      <c r="C39" s="89">
        <v>-1</v>
      </c>
      <c r="D39" s="89">
        <v>-1</v>
      </c>
      <c r="E39" s="89">
        <v>0</v>
      </c>
      <c r="F39" s="89">
        <v>0</v>
      </c>
      <c r="G39" s="89">
        <v>0</v>
      </c>
      <c r="H39" s="89">
        <v>1</v>
      </c>
      <c r="I39" s="89"/>
      <c r="J39" s="89"/>
      <c r="K39" s="89"/>
      <c r="L39" s="91"/>
      <c r="M39" s="92" t="str" cm="1">
        <f t="array" ref="M39">IF(is_cat,IF(header_row_id=INCOME_HEADER_ROW,MATCH(INCOME_MIN_ROW,$C:$C,0),""),"")</f>
        <v/>
      </c>
      <c r="N39" s="93"/>
      <c r="O39" s="89" t="str">
        <f t="shared" si="0"/>
        <v/>
      </c>
      <c r="P39" s="89" t="str">
        <f t="shared" ca="1" si="16"/>
        <v/>
      </c>
      <c r="Q39" s="89" t="str">
        <f t="shared" si="1"/>
        <v/>
      </c>
      <c r="R39" s="89" t="str">
        <f t="shared" ca="1" si="2"/>
        <v/>
      </c>
      <c r="S39" s="84" t="str">
        <f t="shared" si="3"/>
        <v/>
      </c>
      <c r="T39" s="89" t="str">
        <f t="shared" si="4"/>
        <v/>
      </c>
      <c r="U39" s="89" t="str">
        <f t="shared" ca="1" si="5"/>
        <v/>
      </c>
      <c r="V39" s="89" t="str">
        <f t="shared" si="6"/>
        <v/>
      </c>
      <c r="W39" s="91" t="str">
        <f t="shared" ca="1" si="7"/>
        <v/>
      </c>
      <c r="X39" s="91">
        <f t="shared" si="8"/>
        <v>-1</v>
      </c>
    </row>
    <row r="40" spans="3:44" ht="15.75" x14ac:dyDescent="0.25">
      <c r="C40" s="89">
        <v>-1</v>
      </c>
      <c r="D40" s="89">
        <v>-1</v>
      </c>
      <c r="E40" s="89">
        <v>0</v>
      </c>
      <c r="F40" s="89">
        <v>0</v>
      </c>
      <c r="G40" s="89">
        <v>0</v>
      </c>
      <c r="H40" s="89">
        <v>1</v>
      </c>
      <c r="I40" s="89"/>
      <c r="J40" s="89"/>
      <c r="K40" s="92"/>
      <c r="L40" s="99"/>
      <c r="M40" s="92" t="str" cm="1">
        <f t="array" ref="M40">IF(is_cat,IF(header_row_id=INCOME_HEADER_ROW,MATCH(INCOME_MIN_ROW,$C:$C,0),""),"")</f>
        <v/>
      </c>
      <c r="N40" s="93"/>
      <c r="O40" s="89" t="str">
        <f t="shared" si="0"/>
        <v/>
      </c>
      <c r="P40" s="89" t="str">
        <f t="shared" ca="1" si="16"/>
        <v/>
      </c>
      <c r="Q40" s="89" t="str">
        <f t="shared" si="1"/>
        <v/>
      </c>
      <c r="R40" s="89" t="str">
        <f t="shared" ca="1" si="2"/>
        <v/>
      </c>
      <c r="S40" s="84" t="str">
        <f t="shared" si="3"/>
        <v/>
      </c>
      <c r="T40" s="89" t="str">
        <f t="shared" si="4"/>
        <v/>
      </c>
      <c r="U40" s="89" t="str">
        <f t="shared" ca="1" si="5"/>
        <v/>
      </c>
      <c r="V40" s="89" t="str">
        <f t="shared" si="6"/>
        <v/>
      </c>
      <c r="W40" s="91" t="str">
        <f t="shared" ca="1" si="7"/>
        <v/>
      </c>
      <c r="X40" s="91">
        <f t="shared" si="8"/>
        <v>-1</v>
      </c>
    </row>
    <row r="41" spans="3:44" ht="15.75" x14ac:dyDescent="0.25">
      <c r="C41" s="89">
        <v>-1</v>
      </c>
      <c r="D41" s="89">
        <v>-1</v>
      </c>
      <c r="E41" s="89">
        <v>0</v>
      </c>
      <c r="F41" s="89">
        <v>0</v>
      </c>
      <c r="G41" s="89">
        <v>0</v>
      </c>
      <c r="H41" s="89">
        <v>1</v>
      </c>
      <c r="I41" s="89"/>
      <c r="J41" s="89"/>
      <c r="K41" s="92"/>
      <c r="L41" s="99"/>
      <c r="M41" s="92" t="str" cm="1">
        <f t="array" ref="M41">IF(is_cat,IF(header_row_id=INCOME_HEADER_ROW,MATCH(INCOME_MIN_ROW,$C:$C,0),""),"")</f>
        <v/>
      </c>
      <c r="N41" s="93"/>
      <c r="O41" s="89" t="str">
        <f t="shared" si="0"/>
        <v/>
      </c>
      <c r="P41" s="89" t="str">
        <f t="shared" ca="1" si="16"/>
        <v/>
      </c>
      <c r="Q41" s="89" t="str">
        <f t="shared" si="1"/>
        <v/>
      </c>
      <c r="R41" s="89" t="str">
        <f t="shared" ca="1" si="2"/>
        <v/>
      </c>
      <c r="S41" s="84" t="str">
        <f t="shared" si="3"/>
        <v/>
      </c>
      <c r="T41" s="89" t="str">
        <f t="shared" si="4"/>
        <v/>
      </c>
      <c r="U41" s="89" t="str">
        <f t="shared" ca="1" si="5"/>
        <v/>
      </c>
      <c r="V41" s="89" t="str">
        <f t="shared" si="6"/>
        <v/>
      </c>
      <c r="W41" s="91" t="str">
        <f t="shared" ca="1" si="7"/>
        <v/>
      </c>
      <c r="X41" s="91">
        <f t="shared" si="8"/>
        <v>-1</v>
      </c>
    </row>
    <row r="42" spans="3:44" ht="15.75" x14ac:dyDescent="0.25">
      <c r="C42" s="89">
        <v>-1</v>
      </c>
      <c r="D42" s="89">
        <v>-1</v>
      </c>
      <c r="E42" s="89">
        <v>0</v>
      </c>
      <c r="F42" s="89">
        <v>0</v>
      </c>
      <c r="G42" s="89">
        <v>0</v>
      </c>
      <c r="H42" s="89">
        <v>1</v>
      </c>
      <c r="I42" s="89"/>
      <c r="J42" s="89"/>
      <c r="K42" s="92"/>
      <c r="L42" s="99"/>
      <c r="M42" s="92" t="str" cm="1">
        <f t="array" ref="M42">IF(is_cat,IF(header_row_id=INCOME_HEADER_ROW,MATCH(INCOME_MIN_ROW,$C:$C,0),""),"")</f>
        <v/>
      </c>
      <c r="N42" s="93"/>
      <c r="O42" s="89" t="str">
        <f t="shared" si="0"/>
        <v/>
      </c>
      <c r="P42" s="89" t="str">
        <f t="shared" ca="1" si="16"/>
        <v/>
      </c>
      <c r="Q42" s="89" t="str">
        <f t="shared" si="1"/>
        <v/>
      </c>
      <c r="R42" s="89" t="str">
        <f t="shared" ca="1" si="2"/>
        <v/>
      </c>
      <c r="S42" s="84" t="str">
        <f t="shared" si="3"/>
        <v/>
      </c>
      <c r="T42" s="89" t="str">
        <f t="shared" si="4"/>
        <v/>
      </c>
      <c r="U42" s="89" t="str">
        <f t="shared" ca="1" si="5"/>
        <v/>
      </c>
      <c r="V42" s="89" t="str">
        <f t="shared" si="6"/>
        <v/>
      </c>
      <c r="W42" s="91" t="str">
        <f t="shared" ca="1" si="7"/>
        <v/>
      </c>
      <c r="X42" s="91">
        <f t="shared" si="8"/>
        <v>-1</v>
      </c>
    </row>
    <row r="43" spans="3:44" ht="15.75" x14ac:dyDescent="0.25">
      <c r="C43" s="89">
        <v>-1</v>
      </c>
      <c r="D43" s="89">
        <v>-1</v>
      </c>
      <c r="E43" s="89">
        <v>0</v>
      </c>
      <c r="F43" s="89">
        <v>0</v>
      </c>
      <c r="G43" s="89">
        <v>0</v>
      </c>
      <c r="H43" s="89">
        <v>1</v>
      </c>
      <c r="I43" s="89"/>
      <c r="J43" s="89"/>
      <c r="K43" s="92"/>
      <c r="L43" s="99"/>
      <c r="M43" s="92" t="str" cm="1">
        <f t="array" ref="M43">IF(is_cat,IF(header_row_id=INCOME_HEADER_ROW,MATCH(INCOME_MIN_ROW,$C:$C,0),""),"")</f>
        <v/>
      </c>
      <c r="N43" s="93"/>
      <c r="O43" s="89" t="str">
        <f t="shared" si="0"/>
        <v/>
      </c>
      <c r="P43" s="89" t="str">
        <f t="shared" ca="1" si="16"/>
        <v/>
      </c>
      <c r="Q43" s="89" t="str">
        <f t="shared" si="1"/>
        <v/>
      </c>
      <c r="R43" s="89" t="str">
        <f t="shared" ca="1" si="2"/>
        <v/>
      </c>
      <c r="S43" s="84" t="str">
        <f t="shared" si="3"/>
        <v/>
      </c>
      <c r="T43" s="89" t="str">
        <f t="shared" si="4"/>
        <v/>
      </c>
      <c r="U43" s="89" t="str">
        <f t="shared" ca="1" si="5"/>
        <v/>
      </c>
      <c r="V43" s="89" t="str">
        <f t="shared" si="6"/>
        <v/>
      </c>
      <c r="W43" s="91" t="str">
        <f t="shared" ca="1" si="7"/>
        <v/>
      </c>
      <c r="X43" s="91">
        <f t="shared" si="8"/>
        <v>-1</v>
      </c>
    </row>
    <row r="44" spans="3:44" ht="15.75" x14ac:dyDescent="0.25">
      <c r="C44" s="89">
        <v>-1</v>
      </c>
      <c r="D44" s="89">
        <v>-1</v>
      </c>
      <c r="E44" s="89">
        <v>0</v>
      </c>
      <c r="F44" s="89">
        <v>0</v>
      </c>
      <c r="G44" s="89">
        <v>0</v>
      </c>
      <c r="H44" s="89">
        <v>1</v>
      </c>
      <c r="I44" s="89"/>
      <c r="J44" s="89"/>
      <c r="K44" s="92"/>
      <c r="L44" s="99"/>
      <c r="M44" s="92" t="str" cm="1">
        <f t="array" ref="M44">IF(is_cat,IF(header_row_id=INCOME_HEADER_ROW,MATCH(INCOME_MIN_ROW,$C:$C,0),""),"")</f>
        <v/>
      </c>
      <c r="N44" s="93"/>
      <c r="O44" s="89" t="str">
        <f t="shared" si="0"/>
        <v/>
      </c>
      <c r="P44" s="89" t="str">
        <f t="shared" ca="1" si="16"/>
        <v/>
      </c>
      <c r="Q44" s="89" t="str">
        <f t="shared" si="1"/>
        <v/>
      </c>
      <c r="R44" s="89" t="str">
        <f t="shared" ca="1" si="2"/>
        <v/>
      </c>
      <c r="S44" s="84" t="str">
        <f t="shared" si="3"/>
        <v/>
      </c>
      <c r="T44" s="89" t="str">
        <f t="shared" si="4"/>
        <v/>
      </c>
      <c r="U44" s="89" t="str">
        <f t="shared" ca="1" si="5"/>
        <v/>
      </c>
      <c r="V44" s="89" t="str">
        <f t="shared" si="6"/>
        <v/>
      </c>
      <c r="W44" s="91" t="str">
        <f t="shared" ca="1" si="7"/>
        <v/>
      </c>
      <c r="X44" s="91">
        <f t="shared" si="8"/>
        <v>-1</v>
      </c>
    </row>
    <row r="45" spans="3:44" ht="15.75" x14ac:dyDescent="0.25">
      <c r="C45" s="89">
        <v>-1</v>
      </c>
      <c r="D45" s="89">
        <v>-1</v>
      </c>
      <c r="E45" s="89">
        <v>0</v>
      </c>
      <c r="F45" s="89">
        <v>0</v>
      </c>
      <c r="G45" s="89">
        <v>0</v>
      </c>
      <c r="H45" s="89">
        <v>1</v>
      </c>
      <c r="I45" s="89"/>
      <c r="J45" s="89"/>
      <c r="K45" s="92"/>
      <c r="L45" s="99"/>
      <c r="M45" s="92" t="str" cm="1">
        <f t="array" ref="M45">IF(is_cat,IF(header_row_id=INCOME_HEADER_ROW,MATCH(INCOME_MIN_ROW,$C:$C,0),""),"")</f>
        <v/>
      </c>
      <c r="N45" s="93"/>
      <c r="O45" s="89" t="str">
        <f t="shared" si="0"/>
        <v/>
      </c>
      <c r="P45" s="89" t="str">
        <f t="shared" ca="1" si="16"/>
        <v/>
      </c>
      <c r="Q45" s="89" t="str">
        <f t="shared" si="1"/>
        <v/>
      </c>
      <c r="R45" s="89" t="str">
        <f t="shared" ca="1" si="2"/>
        <v/>
      </c>
      <c r="S45" s="84" t="str">
        <f t="shared" si="3"/>
        <v/>
      </c>
      <c r="T45" s="89" t="str">
        <f t="shared" si="4"/>
        <v/>
      </c>
      <c r="U45" s="89" t="str">
        <f t="shared" ca="1" si="5"/>
        <v/>
      </c>
      <c r="V45" s="89" t="str">
        <f t="shared" si="6"/>
        <v/>
      </c>
      <c r="W45" s="91" t="str">
        <f t="shared" ca="1" si="7"/>
        <v/>
      </c>
      <c r="X45" s="91">
        <f t="shared" si="8"/>
        <v>-1</v>
      </c>
    </row>
    <row r="46" spans="3:44" ht="15.75" x14ac:dyDescent="0.25">
      <c r="C46" s="89">
        <v>-1</v>
      </c>
      <c r="D46" s="89">
        <v>-1</v>
      </c>
      <c r="E46" s="89">
        <v>0</v>
      </c>
      <c r="F46" s="89">
        <v>0</v>
      </c>
      <c r="G46" s="89">
        <v>0</v>
      </c>
      <c r="H46" s="89">
        <v>1</v>
      </c>
      <c r="I46" s="89"/>
      <c r="J46" s="89"/>
      <c r="K46" s="92"/>
      <c r="L46" s="99"/>
      <c r="M46" s="92" t="str" cm="1">
        <f t="array" ref="M46">IF(is_cat,IF(header_row_id=INCOME_HEADER_ROW,MATCH(INCOME_MIN_ROW,$C:$C,0),""),"")</f>
        <v/>
      </c>
      <c r="N46" s="93"/>
      <c r="O46" s="89" t="str">
        <f t="shared" si="0"/>
        <v/>
      </c>
      <c r="P46" s="89" t="str">
        <f t="shared" ca="1" si="16"/>
        <v/>
      </c>
      <c r="Q46" s="89" t="str">
        <f t="shared" si="1"/>
        <v/>
      </c>
      <c r="R46" s="89" t="str">
        <f t="shared" ca="1" si="2"/>
        <v/>
      </c>
      <c r="S46" s="84" t="str">
        <f t="shared" si="3"/>
        <v/>
      </c>
      <c r="T46" s="89" t="str">
        <f t="shared" si="4"/>
        <v/>
      </c>
      <c r="U46" s="89" t="str">
        <f t="shared" ca="1" si="5"/>
        <v/>
      </c>
      <c r="V46" s="89" t="str">
        <f t="shared" si="6"/>
        <v/>
      </c>
      <c r="W46" s="91" t="str">
        <f t="shared" ca="1" si="7"/>
        <v/>
      </c>
      <c r="X46" s="91">
        <f t="shared" si="8"/>
        <v>-1</v>
      </c>
    </row>
    <row r="47" spans="3:44" ht="15.75" x14ac:dyDescent="0.25">
      <c r="C47" s="89">
        <v>-1</v>
      </c>
      <c r="D47" s="89">
        <v>-1</v>
      </c>
      <c r="E47" s="89">
        <v>0</v>
      </c>
      <c r="F47" s="89">
        <v>0</v>
      </c>
      <c r="G47" s="89">
        <v>0</v>
      </c>
      <c r="H47" s="89">
        <v>1</v>
      </c>
      <c r="I47" s="89"/>
      <c r="J47" s="89"/>
      <c r="K47" s="92"/>
      <c r="L47" s="99"/>
      <c r="M47" s="92" t="str" cm="1">
        <f t="array" ref="M47">IF(is_cat,IF(header_row_id=INCOME_HEADER_ROW,MATCH(INCOME_MIN_ROW,$C:$C,0),""),"")</f>
        <v/>
      </c>
      <c r="N47" s="93"/>
      <c r="O47" s="89" t="str">
        <f t="shared" si="0"/>
        <v/>
      </c>
      <c r="P47" s="89" t="str">
        <f t="shared" ca="1" si="16"/>
        <v/>
      </c>
      <c r="Q47" s="89" t="str">
        <f t="shared" si="1"/>
        <v/>
      </c>
      <c r="R47" s="89" t="str">
        <f t="shared" ca="1" si="2"/>
        <v/>
      </c>
      <c r="S47" s="84" t="str">
        <f t="shared" si="3"/>
        <v/>
      </c>
      <c r="T47" s="89" t="str">
        <f t="shared" si="4"/>
        <v/>
      </c>
      <c r="U47" s="89" t="str">
        <f t="shared" ca="1" si="5"/>
        <v/>
      </c>
      <c r="V47" s="89" t="str">
        <f t="shared" si="6"/>
        <v/>
      </c>
      <c r="W47" s="91" t="str">
        <f t="shared" ca="1" si="7"/>
        <v/>
      </c>
      <c r="X47" s="91">
        <f t="shared" si="8"/>
        <v>-1</v>
      </c>
    </row>
    <row r="48" spans="3:44" ht="15.75" x14ac:dyDescent="0.25">
      <c r="C48" s="89">
        <v>-1</v>
      </c>
      <c r="D48" s="89">
        <v>-1</v>
      </c>
      <c r="E48" s="89">
        <v>0</v>
      </c>
      <c r="F48" s="89">
        <v>0</v>
      </c>
      <c r="G48" s="89">
        <v>0</v>
      </c>
      <c r="H48" s="89">
        <v>1</v>
      </c>
      <c r="I48" s="89"/>
      <c r="J48" s="89"/>
      <c r="K48" s="92"/>
      <c r="L48" s="99"/>
      <c r="M48" s="92" t="str" cm="1">
        <f t="array" ref="M48">IF(is_cat,IF(header_row_id=INCOME_HEADER_ROW,MATCH(INCOME_MIN_ROW,$C:$C,0),""),"")</f>
        <v/>
      </c>
      <c r="N48" s="93"/>
      <c r="O48" s="89" t="str">
        <f t="shared" si="0"/>
        <v/>
      </c>
      <c r="P48" s="89" t="str">
        <f t="shared" ca="1" si="16"/>
        <v/>
      </c>
      <c r="Q48" s="89" t="str">
        <f t="shared" si="1"/>
        <v/>
      </c>
      <c r="R48" s="89" t="str">
        <f t="shared" ca="1" si="2"/>
        <v/>
      </c>
      <c r="S48" s="84" t="str">
        <f t="shared" si="3"/>
        <v/>
      </c>
      <c r="T48" s="89" t="str">
        <f t="shared" si="4"/>
        <v/>
      </c>
      <c r="U48" s="89" t="str">
        <f t="shared" ca="1" si="5"/>
        <v/>
      </c>
      <c r="V48" s="89" t="str">
        <f t="shared" si="6"/>
        <v/>
      </c>
      <c r="W48" s="91" t="str">
        <f t="shared" ca="1" si="7"/>
        <v/>
      </c>
      <c r="X48" s="91">
        <f t="shared" si="8"/>
        <v>-1</v>
      </c>
    </row>
    <row r="49" spans="3:24" ht="15.75" x14ac:dyDescent="0.25">
      <c r="C49" s="89">
        <v>-1</v>
      </c>
      <c r="D49" s="89">
        <v>-1</v>
      </c>
      <c r="E49" s="89" t="b">
        <v>1</v>
      </c>
      <c r="F49" s="89">
        <v>0</v>
      </c>
      <c r="G49" s="89">
        <v>0</v>
      </c>
      <c r="H49" s="89">
        <v>1</v>
      </c>
      <c r="I49" s="89"/>
      <c r="J49" s="89"/>
      <c r="K49" s="92"/>
      <c r="L49" s="99"/>
      <c r="M49" s="92" t="str" cm="1">
        <f t="array" ref="M49">IF(is_cat,IF(header_row_id=INCOME_HEADER_ROW,MATCH(INCOME_MIN_ROW,$C:$C,0),""),"")</f>
        <v/>
      </c>
      <c r="N49" s="93"/>
      <c r="O49" s="89" t="str">
        <f t="shared" si="0"/>
        <v/>
      </c>
      <c r="P49" s="89" t="str">
        <f t="shared" ca="1" si="16"/>
        <v/>
      </c>
      <c r="Q49" s="89" t="str">
        <f t="shared" si="1"/>
        <v/>
      </c>
      <c r="R49" s="89" t="str">
        <f t="shared" ca="1" si="2"/>
        <v/>
      </c>
      <c r="S49" s="84" t="str">
        <f t="shared" si="3"/>
        <v/>
      </c>
      <c r="T49" s="89" t="str">
        <f t="shared" si="4"/>
        <v/>
      </c>
      <c r="U49" s="89" t="str">
        <f t="shared" ca="1" si="5"/>
        <v/>
      </c>
      <c r="V49" s="89" t="str">
        <f t="shared" si="6"/>
        <v/>
      </c>
      <c r="W49" s="91" t="str">
        <f t="shared" ca="1" si="7"/>
        <v/>
      </c>
      <c r="X49" s="91">
        <f t="shared" si="8"/>
        <v>-1</v>
      </c>
    </row>
    <row r="50" spans="3:24" ht="15.75" x14ac:dyDescent="0.25">
      <c r="C50" s="100">
        <v>-1</v>
      </c>
      <c r="D50" s="100">
        <v>-1</v>
      </c>
      <c r="E50" s="100" t="b">
        <v>1</v>
      </c>
      <c r="F50" s="100">
        <v>0</v>
      </c>
      <c r="G50" s="100">
        <v>0</v>
      </c>
      <c r="H50" s="103">
        <v>1</v>
      </c>
      <c r="I50" s="100"/>
      <c r="J50" s="100"/>
      <c r="K50" s="101"/>
      <c r="L50" s="102"/>
      <c r="M50" s="92" t="str" cm="1">
        <f t="array" ref="M50">IF(is_cat,IF(header_row_id=INCOME_HEADER_ROW,MATCH(INCOME_MIN_ROW,$C:$C,0),""),"")</f>
        <v/>
      </c>
      <c r="N50" s="99"/>
      <c r="O50" s="104" t="str">
        <f t="shared" si="0"/>
        <v/>
      </c>
      <c r="P50" s="105" t="str">
        <f t="shared" ca="1" si="16"/>
        <v/>
      </c>
      <c r="Q50" s="106" t="str">
        <f t="shared" si="1"/>
        <v/>
      </c>
      <c r="R50" s="106" t="str">
        <f t="shared" ca="1" si="2"/>
        <v/>
      </c>
      <c r="S50" s="107" t="str">
        <f t="shared" si="3"/>
        <v/>
      </c>
      <c r="T50" s="102" t="str">
        <f t="shared" si="4"/>
        <v/>
      </c>
      <c r="U50" s="106" t="str">
        <f t="shared" ca="1" si="5"/>
        <v/>
      </c>
      <c r="V50" s="106" t="str">
        <f t="shared" si="6"/>
        <v/>
      </c>
      <c r="W50" s="106" t="str">
        <f t="shared" ca="1" si="7"/>
        <v/>
      </c>
      <c r="X50" s="103">
        <f t="shared" si="8"/>
        <v>-1</v>
      </c>
    </row>
    <row r="51" spans="3:24" x14ac:dyDescent="0.25">
      <c r="E51" t="b">
        <v>1</v>
      </c>
      <c r="M51" s="88"/>
      <c r="N51" s="88"/>
      <c r="O51" s="88"/>
      <c r="W51" t="str">
        <f t="shared" ca="1" si="7"/>
        <v/>
      </c>
    </row>
    <row r="52" spans="3:24" x14ac:dyDescent="0.25">
      <c r="E52" t="b">
        <v>0</v>
      </c>
    </row>
  </sheetData>
  <mergeCells count="11">
    <mergeCell ref="AQ9:AR9"/>
    <mergeCell ref="A1:Z3"/>
    <mergeCell ref="C11:X11"/>
    <mergeCell ref="AA1:AZ3"/>
    <mergeCell ref="Y11:AD11"/>
    <mergeCell ref="AF11:AR11"/>
    <mergeCell ref="AQ5:AR5"/>
    <mergeCell ref="AQ6:AR6"/>
    <mergeCell ref="AN6:AP6"/>
    <mergeCell ref="AQ8:AR8"/>
    <mergeCell ref="AN9:AP9"/>
  </mergeCells>
  <phoneticPr fontId="32" type="noConversion"/>
  <conditionalFormatting sqref="AH17">
    <cfRule type="expression" dxfId="4" priority="17">
      <formula>AI20&lt;&gt;""</formula>
    </cfRule>
  </conditionalFormatting>
  <conditionalFormatting sqref="AH18">
    <cfRule type="expression" dxfId="3" priority="15">
      <formula>AI21&lt;&gt;""</formula>
    </cfRule>
  </conditionalFormatting>
  <conditionalFormatting sqref="AH19">
    <cfRule type="expression" dxfId="2" priority="13">
      <formula>AI22&lt;&gt;""</formula>
    </cfRule>
  </conditionalFormatting>
  <conditionalFormatting sqref="AO30">
    <cfRule type="expression" dxfId="1" priority="3">
      <formula>AP33&lt;&gt;""</formula>
    </cfRule>
  </conditionalFormatting>
  <conditionalFormatting sqref="AO31">
    <cfRule type="expression" dxfId="0" priority="2">
      <formula>AP34&lt;&gt;""</formula>
    </cfRule>
  </conditionalFormatting>
  <dataValidations count="2">
    <dataValidation type="list" allowBlank="1" showInputMessage="1" showErrorMessage="1" sqref="AQ6:AR6" xr:uid="{3447C8E8-4E69-405E-94F6-A3CE2B0DAB15}">
      <formula1>#REF!</formula1>
    </dataValidation>
    <dataValidation type="list" allowBlank="1" showInputMessage="1" showErrorMessage="1" sqref="AQ9:AR9" xr:uid="{862316AA-EBDE-4C2B-B8C3-3D8C344AC270}">
      <formula1>#REF!</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C1DA0-7063-4994-9439-84BD9A4B4B9F}">
  <dimension ref="A1:Z102"/>
  <sheetViews>
    <sheetView showGridLines="0" topLeftCell="A23" zoomScale="85" zoomScaleNormal="85" workbookViewId="0">
      <selection activeCell="E26" sqref="E26"/>
    </sheetView>
  </sheetViews>
  <sheetFormatPr defaultRowHeight="15" x14ac:dyDescent="0.25"/>
  <cols>
    <col min="1" max="1" width="6.7109375" customWidth="1"/>
    <col min="2" max="2" width="3.7109375" customWidth="1"/>
    <col min="3" max="3" width="4" customWidth="1"/>
    <col min="4" max="4" width="23.42578125" customWidth="1"/>
    <col min="5" max="5" width="25.85546875" customWidth="1"/>
    <col min="6" max="6" width="14.42578125" customWidth="1"/>
    <col min="7" max="7" width="12" hidden="1" customWidth="1"/>
    <col min="8" max="8" width="18.42578125" customWidth="1"/>
    <col min="9" max="9" width="32.7109375" customWidth="1"/>
    <col min="10" max="11" width="11.140625" customWidth="1"/>
    <col min="12" max="12" width="25" customWidth="1"/>
    <col min="13" max="13" width="31.85546875" customWidth="1"/>
    <col min="14" max="14" width="12.7109375" customWidth="1"/>
    <col min="15" max="15" width="14.5703125" customWidth="1"/>
    <col min="16" max="18" width="19.42578125" customWidth="1"/>
  </cols>
  <sheetData>
    <row r="1" spans="1:26" x14ac:dyDescent="0.25">
      <c r="A1" s="201" t="s">
        <v>46</v>
      </c>
      <c r="B1" s="202"/>
      <c r="C1" s="202"/>
      <c r="D1" s="202"/>
      <c r="E1" s="202"/>
      <c r="F1" s="202"/>
      <c r="G1" s="202"/>
      <c r="H1" s="202"/>
      <c r="I1" s="202"/>
      <c r="J1" s="202"/>
      <c r="K1" s="202"/>
      <c r="L1" s="202"/>
      <c r="M1" s="202"/>
      <c r="N1" s="202"/>
      <c r="O1" s="202"/>
      <c r="P1" s="202"/>
      <c r="Q1" s="202"/>
      <c r="R1" s="202"/>
      <c r="S1" s="202"/>
      <c r="T1" s="202"/>
      <c r="U1" s="202"/>
      <c r="V1" s="202"/>
      <c r="W1" s="202"/>
      <c r="X1" s="202"/>
      <c r="Y1" s="202"/>
      <c r="Z1" s="202"/>
    </row>
    <row r="2" spans="1:26" x14ac:dyDescent="0.25">
      <c r="A2" s="202"/>
      <c r="B2" s="202"/>
      <c r="C2" s="202"/>
      <c r="D2" s="202"/>
      <c r="E2" s="202"/>
      <c r="F2" s="202"/>
      <c r="G2" s="202"/>
      <c r="H2" s="202"/>
      <c r="I2" s="202"/>
      <c r="J2" s="202"/>
      <c r="K2" s="202"/>
      <c r="L2" s="202"/>
      <c r="M2" s="202"/>
      <c r="N2" s="202"/>
      <c r="O2" s="202"/>
      <c r="P2" s="202"/>
      <c r="Q2" s="202"/>
      <c r="R2" s="202"/>
      <c r="S2" s="202"/>
      <c r="T2" s="202"/>
      <c r="U2" s="202"/>
      <c r="V2" s="202"/>
      <c r="W2" s="202"/>
      <c r="X2" s="202"/>
      <c r="Y2" s="202"/>
      <c r="Z2" s="202"/>
    </row>
    <row r="3" spans="1:26" x14ac:dyDescent="0.25">
      <c r="A3" s="202"/>
      <c r="B3" s="202"/>
      <c r="C3" s="202"/>
      <c r="D3" s="202"/>
      <c r="E3" s="202"/>
      <c r="F3" s="202"/>
      <c r="G3" s="202"/>
      <c r="H3" s="202"/>
      <c r="I3" s="202"/>
      <c r="J3" s="202"/>
      <c r="K3" s="202"/>
      <c r="L3" s="202"/>
      <c r="M3" s="202"/>
      <c r="N3" s="202"/>
      <c r="O3" s="202"/>
      <c r="P3" s="202"/>
      <c r="Q3" s="202"/>
      <c r="R3" s="202"/>
      <c r="S3" s="202"/>
      <c r="T3" s="202"/>
      <c r="U3" s="202"/>
      <c r="V3" s="202"/>
      <c r="W3" s="202"/>
      <c r="X3" s="202"/>
      <c r="Y3" s="202"/>
      <c r="Z3" s="202"/>
    </row>
    <row r="6" spans="1:26" x14ac:dyDescent="0.25">
      <c r="C6" s="216" t="s">
        <v>47</v>
      </c>
      <c r="D6" s="217"/>
      <c r="E6" s="217"/>
      <c r="F6" s="217"/>
    </row>
    <row r="7" spans="1:26" x14ac:dyDescent="0.25">
      <c r="C7" s="16"/>
      <c r="D7" s="16"/>
      <c r="E7" s="16"/>
      <c r="F7" s="16"/>
    </row>
    <row r="8" spans="1:26" x14ac:dyDescent="0.25">
      <c r="C8" s="16"/>
      <c r="D8" s="77" t="s">
        <v>48</v>
      </c>
      <c r="E8" s="78" cm="1">
        <f t="array" ref="E8">current_date</f>
        <v>44635</v>
      </c>
      <c r="F8" s="16"/>
    </row>
    <row r="9" spans="1:26" x14ac:dyDescent="0.25">
      <c r="C9" s="16"/>
      <c r="D9" s="77" t="s">
        <v>49</v>
      </c>
      <c r="E9" s="78">
        <f>MAX(TRACKING[Date])</f>
        <v>44635</v>
      </c>
      <c r="F9" s="16"/>
    </row>
    <row r="10" spans="1:26" x14ac:dyDescent="0.25">
      <c r="C10" s="16"/>
      <c r="D10" s="77" t="s">
        <v>50</v>
      </c>
      <c r="E10" s="16" t="str">
        <f>IF(E9=0,"","("&amp;_xlfn.DAYS(E8,E9)&amp;"days ago)")</f>
        <v>(0days ago)</v>
      </c>
      <c r="F10" s="16"/>
    </row>
    <row r="11" spans="1:26" x14ac:dyDescent="0.25">
      <c r="C11" s="16"/>
      <c r="D11" s="77" t="s">
        <v>51</v>
      </c>
      <c r="E11" s="16">
        <f>COUNT(TRACKING[Date])</f>
        <v>58</v>
      </c>
      <c r="F11" s="16"/>
    </row>
    <row r="12" spans="1:26" x14ac:dyDescent="0.25">
      <c r="C12" s="16"/>
      <c r="D12" s="77" t="s">
        <v>52</v>
      </c>
      <c r="E12" s="16" t="str" cm="1">
        <f t="array" ref="E12">"("&amp; SUMPRODUCT(--(YEAR(TRACKING[Date])=YEAR(current_date))) &amp; "this year)"</f>
        <v>(56this year)</v>
      </c>
      <c r="F12" s="16"/>
    </row>
    <row r="13" spans="1:26" x14ac:dyDescent="0.25">
      <c r="C13" s="16"/>
      <c r="D13" s="77" t="s">
        <v>53</v>
      </c>
      <c r="E13" s="79">
        <f>_xlfn.IFNA(INDEX(TRACKING[BALANCE],MATCH(CALCULATIONS!E9,TRACKING[Date],0)),"-")</f>
        <v>24280</v>
      </c>
      <c r="F13" s="16"/>
    </row>
    <row r="14" spans="1:26" x14ac:dyDescent="0.25">
      <c r="C14" s="16"/>
      <c r="D14" s="77" t="s">
        <v>54</v>
      </c>
      <c r="E14" s="16" t="str">
        <f>IF(E13&gt;=0,"of tracked income left to be allocated","allocated not covered by income")</f>
        <v>of tracked income left to be allocated</v>
      </c>
      <c r="F14" s="16"/>
    </row>
    <row r="17" spans="3:14" x14ac:dyDescent="0.25">
      <c r="C17" s="216" t="s">
        <v>56</v>
      </c>
      <c r="D17" s="217"/>
      <c r="E17" s="217"/>
      <c r="F17" s="217"/>
    </row>
    <row r="19" spans="3:14" x14ac:dyDescent="0.25">
      <c r="D19" s="56" t="s">
        <v>57</v>
      </c>
      <c r="E19" cm="1">
        <f t="array" ref="E19">IF('BUDGET DASHBOARD'!$AQ$6="Current Year",YEAR(current_date),'BUDGET DASHBOARD'!$AQ$6)</f>
        <v>0</v>
      </c>
    </row>
    <row r="20" spans="3:14" x14ac:dyDescent="0.25">
      <c r="D20" s="82" t="s">
        <v>58</v>
      </c>
      <c r="E20" s="81" cm="1">
        <f t="array" ref="E20">IF('BUDGET DASHBOARD'!$AQ$9="Total Year","Total Year",IF('BUDGET DASHBOARD'!$AQ$9="Current Month",MONTH(current_date),MONTH('BUDGET DASHBOARD'!$AQ$9)))</f>
        <v>1</v>
      </c>
    </row>
    <row r="21" spans="3:14" x14ac:dyDescent="0.25">
      <c r="D21" s="56" t="s">
        <v>59</v>
      </c>
      <c r="E21" s="83" t="s">
        <v>127</v>
      </c>
    </row>
    <row r="22" spans="3:14" x14ac:dyDescent="0.25">
      <c r="D22" s="56" t="s">
        <v>124</v>
      </c>
      <c r="E22">
        <v>365</v>
      </c>
    </row>
    <row r="23" spans="3:14" x14ac:dyDescent="0.25">
      <c r="D23" s="56" t="s">
        <v>125</v>
      </c>
      <c r="E23">
        <v>74</v>
      </c>
    </row>
    <row r="24" spans="3:14" x14ac:dyDescent="0.25">
      <c r="D24" s="56" t="s">
        <v>126</v>
      </c>
      <c r="E24" s="197">
        <f>E23/E22</f>
        <v>0.20273972602739726</v>
      </c>
    </row>
    <row r="25" spans="3:14" x14ac:dyDescent="0.25">
      <c r="D25" s="56" t="s">
        <v>128</v>
      </c>
      <c r="E25" s="86">
        <v>2620</v>
      </c>
    </row>
    <row r="32" spans="3:14" ht="15.75" x14ac:dyDescent="0.25">
      <c r="D32" s="140" t="s">
        <v>85</v>
      </c>
      <c r="E32" s="141"/>
      <c r="F32" s="139"/>
      <c r="G32" s="139"/>
      <c r="H32" s="139"/>
      <c r="I32" s="139"/>
      <c r="J32" s="139"/>
      <c r="K32" s="139"/>
      <c r="L32" s="139"/>
      <c r="M32" s="139"/>
      <c r="N32" s="139"/>
    </row>
    <row r="34" spans="4:14" ht="15.75" x14ac:dyDescent="0.25">
      <c r="D34" s="142" t="s">
        <v>3</v>
      </c>
      <c r="E34" s="142" t="s">
        <v>86</v>
      </c>
      <c r="F34" s="142" t="s">
        <v>87</v>
      </c>
      <c r="H34" s="142" t="s">
        <v>9</v>
      </c>
      <c r="I34" s="142" t="s">
        <v>86</v>
      </c>
      <c r="J34" s="142" t="s">
        <v>87</v>
      </c>
      <c r="L34" s="142" t="s">
        <v>13</v>
      </c>
      <c r="M34" s="142" t="s">
        <v>86</v>
      </c>
      <c r="N34" s="142" t="s">
        <v>87</v>
      </c>
    </row>
    <row r="35" spans="4:14" x14ac:dyDescent="0.25">
      <c r="D35" s="80">
        <v>1</v>
      </c>
      <c r="E35" s="80" t="s">
        <v>89</v>
      </c>
      <c r="F35" s="145">
        <v>3500</v>
      </c>
      <c r="H35" s="80">
        <v>1</v>
      </c>
      <c r="I35" s="80" t="s">
        <v>92</v>
      </c>
      <c r="J35" s="145">
        <v>1200</v>
      </c>
      <c r="L35" s="80">
        <v>1</v>
      </c>
      <c r="M35" s="80" t="s">
        <v>97</v>
      </c>
      <c r="N35" s="145">
        <v>400</v>
      </c>
    </row>
    <row r="36" spans="4:14" x14ac:dyDescent="0.25">
      <c r="D36" s="80">
        <v>2</v>
      </c>
      <c r="E36" s="80" t="s">
        <v>90</v>
      </c>
      <c r="F36" s="145">
        <v>500</v>
      </c>
      <c r="H36" s="80">
        <v>2</v>
      </c>
      <c r="I36" s="80" t="s">
        <v>93</v>
      </c>
      <c r="J36" s="145">
        <v>400</v>
      </c>
      <c r="L36" s="80">
        <v>2</v>
      </c>
      <c r="M36" s="80" t="s">
        <v>98</v>
      </c>
      <c r="N36" s="145">
        <v>800</v>
      </c>
    </row>
    <row r="37" spans="4:14" x14ac:dyDescent="0.25">
      <c r="D37" s="80">
        <v>3</v>
      </c>
      <c r="E37" s="80" t="s">
        <v>91</v>
      </c>
      <c r="F37" s="145">
        <v>50</v>
      </c>
      <c r="H37" s="80">
        <v>3</v>
      </c>
      <c r="I37" s="80" t="s">
        <v>94</v>
      </c>
      <c r="J37" s="145">
        <v>380</v>
      </c>
      <c r="L37" s="80">
        <v>3</v>
      </c>
      <c r="M37" s="80" t="s">
        <v>99</v>
      </c>
      <c r="N37" s="145">
        <v>500</v>
      </c>
    </row>
    <row r="38" spans="4:14" x14ac:dyDescent="0.25">
      <c r="D38" s="80">
        <v>4</v>
      </c>
      <c r="E38" s="80"/>
      <c r="F38" s="145"/>
      <c r="H38" s="80">
        <v>4</v>
      </c>
      <c r="I38" s="80" t="s">
        <v>95</v>
      </c>
      <c r="J38" s="145">
        <v>300</v>
      </c>
      <c r="L38" s="80">
        <v>4</v>
      </c>
      <c r="M38" s="80" t="s">
        <v>118</v>
      </c>
      <c r="N38" s="145">
        <v>400</v>
      </c>
    </row>
    <row r="39" spans="4:14" x14ac:dyDescent="0.25">
      <c r="D39" s="80">
        <v>5</v>
      </c>
      <c r="E39" s="80"/>
      <c r="F39" s="145"/>
      <c r="H39" s="80">
        <v>5</v>
      </c>
      <c r="I39" s="80" t="s">
        <v>96</v>
      </c>
      <c r="J39" s="145">
        <v>270</v>
      </c>
      <c r="L39" s="80">
        <v>5</v>
      </c>
      <c r="M39" s="80" t="s">
        <v>119</v>
      </c>
      <c r="N39" s="145">
        <v>140</v>
      </c>
    </row>
    <row r="40" spans="4:14" ht="15.75" thickBot="1" x14ac:dyDescent="0.3">
      <c r="D40" s="143">
        <v>6</v>
      </c>
      <c r="E40" s="143"/>
      <c r="F40" s="145"/>
      <c r="H40" s="143">
        <v>6</v>
      </c>
      <c r="I40" s="143" t="s">
        <v>88</v>
      </c>
      <c r="J40" s="145">
        <v>460</v>
      </c>
      <c r="L40" s="143">
        <v>6</v>
      </c>
      <c r="M40" s="143" t="s">
        <v>88</v>
      </c>
      <c r="N40" s="145">
        <v>850</v>
      </c>
    </row>
    <row r="41" spans="4:14" ht="16.5" thickTop="1" x14ac:dyDescent="0.25">
      <c r="D41" s="80"/>
      <c r="E41" s="144" t="s">
        <v>5</v>
      </c>
      <c r="F41" s="146">
        <f>SUM(F35:F40)</f>
        <v>4050</v>
      </c>
      <c r="H41" s="80"/>
      <c r="I41" s="144" t="s">
        <v>5</v>
      </c>
      <c r="J41" s="146">
        <f>SUM(J35:J40)</f>
        <v>3010</v>
      </c>
      <c r="L41" s="80"/>
      <c r="M41" s="144" t="s">
        <v>5</v>
      </c>
      <c r="N41" s="146">
        <f>SUM(N35:N40)</f>
        <v>3090</v>
      </c>
    </row>
    <row r="47" spans="4:14" ht="15.75" x14ac:dyDescent="0.25">
      <c r="D47" s="140" t="s">
        <v>100</v>
      </c>
      <c r="E47" s="141"/>
      <c r="F47" s="139"/>
      <c r="G47" s="139"/>
      <c r="H47" s="139"/>
      <c r="I47" s="139"/>
      <c r="J47" s="139"/>
      <c r="K47" s="139"/>
      <c r="L47" s="139"/>
      <c r="M47" s="139"/>
      <c r="N47" s="139"/>
    </row>
    <row r="49" spans="4:18" x14ac:dyDescent="0.25">
      <c r="D49" s="56" t="s">
        <v>120</v>
      </c>
      <c r="E49" s="56" t="b">
        <v>0</v>
      </c>
    </row>
    <row r="50" spans="4:18" x14ac:dyDescent="0.25">
      <c r="D50" s="56" t="s">
        <v>121</v>
      </c>
      <c r="E50" s="56" t="b">
        <v>0</v>
      </c>
    </row>
    <row r="51" spans="4:18" x14ac:dyDescent="0.25">
      <c r="D51" s="56" t="s">
        <v>122</v>
      </c>
      <c r="E51" s="56" t="b">
        <v>1</v>
      </c>
    </row>
    <row r="52" spans="4:18" x14ac:dyDescent="0.25">
      <c r="D52" s="56" t="s">
        <v>123</v>
      </c>
      <c r="E52" s="56" t="b">
        <v>0</v>
      </c>
    </row>
    <row r="53" spans="4:18" x14ac:dyDescent="0.25">
      <c r="M53" s="218" t="s">
        <v>110</v>
      </c>
      <c r="N53" s="218"/>
      <c r="O53" s="218"/>
      <c r="P53" s="219" t="s">
        <v>114</v>
      </c>
      <c r="Q53" s="219"/>
      <c r="R53" s="219"/>
    </row>
    <row r="54" spans="4:18" x14ac:dyDescent="0.25">
      <c r="D54" s="165" t="s">
        <v>101</v>
      </c>
      <c r="E54" s="165" t="s">
        <v>102</v>
      </c>
      <c r="F54" s="165" t="s">
        <v>103</v>
      </c>
      <c r="G54" s="165" t="s">
        <v>104</v>
      </c>
      <c r="H54" s="165" t="s">
        <v>105</v>
      </c>
      <c r="I54" s="165" t="s">
        <v>106</v>
      </c>
      <c r="J54" s="165" t="s">
        <v>107</v>
      </c>
      <c r="K54" s="165" t="s">
        <v>108</v>
      </c>
      <c r="L54" s="165" t="s">
        <v>109</v>
      </c>
      <c r="M54" s="165" t="s">
        <v>111</v>
      </c>
      <c r="N54" s="165" t="s">
        <v>112</v>
      </c>
      <c r="O54" s="165" t="s">
        <v>113</v>
      </c>
      <c r="P54" s="165" t="s">
        <v>111</v>
      </c>
      <c r="Q54" s="165" t="s">
        <v>112</v>
      </c>
      <c r="R54" s="165" t="s">
        <v>113</v>
      </c>
    </row>
    <row r="55" spans="4:18" ht="15" customHeight="1" x14ac:dyDescent="0.25">
      <c r="D55" s="213">
        <f>DATE(STARTING_YEAR,1,1)</f>
        <v>44562</v>
      </c>
      <c r="E55" s="166" t="s">
        <v>115</v>
      </c>
      <c r="F55" s="169">
        <f>MONTH(D55)</f>
        <v>1</v>
      </c>
      <c r="G55" s="169">
        <f>IF(selected_period="TOTAL YEAR",1,IF(selected_period=cc_month,1,0))</f>
        <v>1</v>
      </c>
      <c r="H55" s="177">
        <f>1*$E$49</f>
        <v>0</v>
      </c>
      <c r="I55" s="169">
        <f>1*$E$52</f>
        <v>0</v>
      </c>
      <c r="J55" s="170">
        <v>4850</v>
      </c>
      <c r="K55" s="170">
        <v>4650</v>
      </c>
      <c r="L55" s="193">
        <v>-200</v>
      </c>
      <c r="M55" s="196" t="s">
        <v>72</v>
      </c>
      <c r="N55" s="171">
        <f>IF(cc_delta&gt;0,cc_delta,0)</f>
        <v>0</v>
      </c>
      <c r="O55" s="171">
        <f>IF(cc_delta&lt;0,ABS(cc_delta),0)</f>
        <v>200</v>
      </c>
      <c r="P55" s="171">
        <v>4650</v>
      </c>
      <c r="Q55" s="171" t="s">
        <v>72</v>
      </c>
      <c r="R55" s="171">
        <v>200</v>
      </c>
    </row>
    <row r="56" spans="4:18" ht="15" customHeight="1" x14ac:dyDescent="0.25">
      <c r="D56" s="214"/>
      <c r="E56" s="167" t="s">
        <v>116</v>
      </c>
      <c r="F56" s="177">
        <v>1</v>
      </c>
      <c r="G56" s="169">
        <f>IF(selected_period="TOTAL YEAR",1,IF(selected_period=cc_month,1,0))</f>
        <v>1</v>
      </c>
      <c r="H56" s="177">
        <f>1*$E$50</f>
        <v>0</v>
      </c>
      <c r="I56" s="177">
        <f t="shared" ref="I56:I57" si="0">1*$E$52</f>
        <v>0</v>
      </c>
      <c r="J56" s="171">
        <v>2800</v>
      </c>
      <c r="K56" s="171">
        <v>2900</v>
      </c>
      <c r="L56" s="194">
        <v>100</v>
      </c>
      <c r="M56" s="196" t="s">
        <v>72</v>
      </c>
      <c r="N56" s="171">
        <f>IF(cc_delta&gt;0,cc_delta,0)</f>
        <v>100</v>
      </c>
      <c r="O56" s="171">
        <f>IF(cc_delta&lt;0,ABS(cc_delta),0)</f>
        <v>0</v>
      </c>
      <c r="P56" s="171">
        <v>2800</v>
      </c>
      <c r="Q56" s="171">
        <v>100</v>
      </c>
      <c r="R56" s="171" t="s">
        <v>72</v>
      </c>
    </row>
    <row r="57" spans="4:18" ht="15" customHeight="1" x14ac:dyDescent="0.25">
      <c r="D57" s="214"/>
      <c r="E57" s="167" t="s">
        <v>117</v>
      </c>
      <c r="F57" s="177">
        <v>1</v>
      </c>
      <c r="G57" s="169">
        <f>IF(selected_period="TOTAL YEAR",1,IF(selected_period=cc_month,1,0))</f>
        <v>1</v>
      </c>
      <c r="H57" s="177">
        <f>1*$E$51</f>
        <v>1</v>
      </c>
      <c r="I57" s="177">
        <f t="shared" si="0"/>
        <v>0</v>
      </c>
      <c r="J57" s="171">
        <v>2050</v>
      </c>
      <c r="K57" s="171">
        <v>1750</v>
      </c>
      <c r="L57" s="194">
        <v>-300</v>
      </c>
      <c r="M57" s="196" t="s">
        <v>72</v>
      </c>
      <c r="N57" s="171">
        <f>IF(cc_delta&gt;0,cc_delta,0)</f>
        <v>0</v>
      </c>
      <c r="O57" s="171">
        <f>IF(cc_delta&lt;0,ABS(cc_delta),0)</f>
        <v>300</v>
      </c>
      <c r="P57" s="171">
        <v>1750</v>
      </c>
      <c r="Q57" s="171" t="s">
        <v>72</v>
      </c>
      <c r="R57" s="171">
        <v>300</v>
      </c>
    </row>
    <row r="58" spans="4:18" ht="15" customHeight="1" x14ac:dyDescent="0.25">
      <c r="D58" s="215"/>
      <c r="E58" s="168"/>
      <c r="F58" s="178"/>
      <c r="G58" s="168"/>
      <c r="H58" s="183"/>
      <c r="I58" s="168"/>
      <c r="J58" s="172"/>
      <c r="K58" s="172"/>
      <c r="L58" s="195"/>
      <c r="M58" s="173"/>
      <c r="N58" s="173"/>
      <c r="O58" s="173"/>
      <c r="P58" s="173"/>
      <c r="Q58" s="173"/>
      <c r="R58" s="173"/>
    </row>
    <row r="59" spans="4:18" ht="15.75" x14ac:dyDescent="0.25">
      <c r="D59" s="213">
        <f>DATE(STARTING_YEAR,2,1)</f>
        <v>44593</v>
      </c>
      <c r="E59" s="166" t="s">
        <v>115</v>
      </c>
      <c r="F59" s="179">
        <v>2</v>
      </c>
      <c r="G59" s="88"/>
      <c r="H59" s="177">
        <f t="shared" ref="H59" si="1">1*$E$49</f>
        <v>0</v>
      </c>
      <c r="I59" s="169">
        <f t="shared" ref="I59:I101" si="2">1*$E$52</f>
        <v>0</v>
      </c>
      <c r="J59" s="187">
        <v>4050</v>
      </c>
      <c r="K59" s="187">
        <v>4550</v>
      </c>
      <c r="L59" s="190">
        <v>500</v>
      </c>
      <c r="M59" s="171">
        <f>MIN(cc_tracked,cc_budget)</f>
        <v>4050</v>
      </c>
      <c r="N59" s="171">
        <f>IF(cc_delta&gt;0,cc_delta,0)</f>
        <v>500</v>
      </c>
      <c r="O59" s="171">
        <f>IF(cc_delta&lt;0,ABS(cc_delta),0)</f>
        <v>0</v>
      </c>
      <c r="P59" s="171" t="s">
        <v>72</v>
      </c>
      <c r="Q59" s="171" t="s">
        <v>72</v>
      </c>
      <c r="R59" s="171">
        <v>201</v>
      </c>
    </row>
    <row r="60" spans="4:18" ht="15.75" x14ac:dyDescent="0.25">
      <c r="D60" s="214"/>
      <c r="E60" s="167" t="s">
        <v>116</v>
      </c>
      <c r="F60" s="179">
        <v>2</v>
      </c>
      <c r="H60" s="177">
        <f t="shared" ref="H60" si="3">1*$E$50</f>
        <v>0</v>
      </c>
      <c r="I60" s="177">
        <f t="shared" si="2"/>
        <v>0</v>
      </c>
      <c r="J60" s="188">
        <v>3010</v>
      </c>
      <c r="K60" s="188">
        <v>2900</v>
      </c>
      <c r="L60" s="191">
        <v>-110</v>
      </c>
      <c r="M60" s="171">
        <f>MIN(cc_tracked,cc_budget)</f>
        <v>2900</v>
      </c>
      <c r="N60" s="171">
        <f>IF(cc_delta&gt;0,cc_delta,0)</f>
        <v>0</v>
      </c>
      <c r="O60" s="171">
        <f>IF(cc_delta&lt;0,ABS(cc_delta),0)</f>
        <v>110</v>
      </c>
      <c r="P60" s="171" t="s">
        <v>72</v>
      </c>
      <c r="Q60" s="171">
        <v>100</v>
      </c>
      <c r="R60" s="171" t="s">
        <v>72</v>
      </c>
    </row>
    <row r="61" spans="4:18" ht="15.75" x14ac:dyDescent="0.25">
      <c r="D61" s="214"/>
      <c r="E61" s="167" t="s">
        <v>117</v>
      </c>
      <c r="F61" s="179">
        <v>2</v>
      </c>
      <c r="H61" s="177">
        <f t="shared" ref="H61" si="4">1*$E$51</f>
        <v>1</v>
      </c>
      <c r="I61" s="177">
        <f t="shared" si="2"/>
        <v>0</v>
      </c>
      <c r="J61" s="188">
        <v>1040</v>
      </c>
      <c r="K61" s="188">
        <v>1650</v>
      </c>
      <c r="L61" s="191">
        <v>610</v>
      </c>
      <c r="M61" s="171">
        <f>MIN(cc_tracked,cc_budget)</f>
        <v>1040</v>
      </c>
      <c r="N61" s="171">
        <f>IF(cc_delta&gt;0,cc_delta,0)</f>
        <v>610</v>
      </c>
      <c r="O61" s="171">
        <f>IF(cc_delta&lt;0,ABS(cc_delta),0)</f>
        <v>0</v>
      </c>
      <c r="P61" s="171" t="s">
        <v>72</v>
      </c>
      <c r="Q61" s="171" t="s">
        <v>72</v>
      </c>
      <c r="R61" s="171">
        <v>301</v>
      </c>
    </row>
    <row r="62" spans="4:18" ht="15.75" x14ac:dyDescent="0.25">
      <c r="D62" s="215"/>
      <c r="E62" s="168"/>
      <c r="F62" s="180"/>
      <c r="G62" s="61"/>
      <c r="H62" s="183"/>
      <c r="I62" s="168"/>
      <c r="J62" s="189"/>
      <c r="K62" s="189"/>
      <c r="L62" s="192"/>
      <c r="M62" s="173"/>
      <c r="N62" s="173"/>
      <c r="O62" s="173"/>
      <c r="P62" s="173"/>
      <c r="Q62" s="173"/>
      <c r="R62" s="173"/>
    </row>
    <row r="63" spans="4:18" ht="15" customHeight="1" x14ac:dyDescent="0.25">
      <c r="D63" s="213">
        <f>DATE(STARTING_YEAR,3,1)</f>
        <v>44621</v>
      </c>
      <c r="E63" s="166" t="s">
        <v>115</v>
      </c>
      <c r="F63" s="181">
        <v>3</v>
      </c>
      <c r="G63" s="88"/>
      <c r="H63" s="177">
        <f t="shared" ref="H63" si="5">1*$E$49</f>
        <v>0</v>
      </c>
      <c r="I63" s="169">
        <f t="shared" ref="I63" si="6">1*$E$52</f>
        <v>0</v>
      </c>
      <c r="J63" s="187">
        <v>4700</v>
      </c>
      <c r="K63" s="187">
        <v>4600</v>
      </c>
      <c r="L63" s="190">
        <v>-100</v>
      </c>
      <c r="M63" s="171">
        <f>MIN(cc_tracked,cc_budget)</f>
        <v>4600</v>
      </c>
      <c r="N63" s="171">
        <f>IF(cc_delta&gt;0,cc_delta,0)</f>
        <v>0</v>
      </c>
      <c r="O63" s="171">
        <f>IF(cc_delta&lt;0,ABS(cc_delta),0)</f>
        <v>100</v>
      </c>
      <c r="P63" s="171" t="s">
        <v>72</v>
      </c>
      <c r="Q63" s="171" t="s">
        <v>72</v>
      </c>
      <c r="R63" s="171">
        <v>202</v>
      </c>
    </row>
    <row r="64" spans="4:18" ht="15" customHeight="1" x14ac:dyDescent="0.25">
      <c r="D64" s="214"/>
      <c r="E64" s="167" t="s">
        <v>116</v>
      </c>
      <c r="F64" s="179">
        <v>3</v>
      </c>
      <c r="H64" s="177">
        <f t="shared" ref="H64" si="7">1*$E$50</f>
        <v>0</v>
      </c>
      <c r="I64" s="177">
        <f t="shared" si="2"/>
        <v>0</v>
      </c>
      <c r="J64" s="188">
        <v>2080</v>
      </c>
      <c r="K64" s="188">
        <v>3050</v>
      </c>
      <c r="L64" s="191">
        <v>970</v>
      </c>
      <c r="M64" s="171">
        <f>MIN(cc_tracked,cc_budget)</f>
        <v>2080</v>
      </c>
      <c r="N64" s="171">
        <f>IF(cc_delta&gt;0,cc_delta,0)</f>
        <v>970</v>
      </c>
      <c r="O64" s="171">
        <f>IF(cc_delta&lt;0,ABS(cc_delta),0)</f>
        <v>0</v>
      </c>
      <c r="P64" s="171" t="s">
        <v>72</v>
      </c>
      <c r="Q64" s="171">
        <v>100</v>
      </c>
      <c r="R64" s="171" t="s">
        <v>72</v>
      </c>
    </row>
    <row r="65" spans="4:18" ht="15" customHeight="1" x14ac:dyDescent="0.25">
      <c r="D65" s="214"/>
      <c r="E65" s="167" t="s">
        <v>117</v>
      </c>
      <c r="F65" s="179">
        <v>3</v>
      </c>
      <c r="H65" s="177">
        <f t="shared" ref="H65" si="8">1*$E$51</f>
        <v>1</v>
      </c>
      <c r="I65" s="177">
        <f t="shared" si="2"/>
        <v>0</v>
      </c>
      <c r="J65" s="184" t="s">
        <v>72</v>
      </c>
      <c r="K65" s="188">
        <v>1550</v>
      </c>
      <c r="L65" s="191">
        <v>1550</v>
      </c>
      <c r="M65" s="171">
        <f>MIN(cc_tracked,cc_budget)</f>
        <v>1550</v>
      </c>
      <c r="N65" s="171">
        <f>IF(cc_delta&gt;0,cc_delta,0)</f>
        <v>1550</v>
      </c>
      <c r="O65" s="171">
        <f>IF(cc_delta&lt;0,ABS(cc_delta),0)</f>
        <v>0</v>
      </c>
      <c r="P65" s="171" t="s">
        <v>72</v>
      </c>
      <c r="Q65" s="171" t="s">
        <v>72</v>
      </c>
      <c r="R65" s="171">
        <v>302</v>
      </c>
    </row>
    <row r="66" spans="4:18" ht="15" customHeight="1" x14ac:dyDescent="0.25">
      <c r="D66" s="215"/>
      <c r="E66" s="168"/>
      <c r="F66" s="180"/>
      <c r="G66" s="61"/>
      <c r="H66" s="183"/>
      <c r="I66" s="168"/>
      <c r="J66" s="185" t="s">
        <v>72</v>
      </c>
      <c r="K66" s="189"/>
      <c r="L66" s="192"/>
      <c r="M66" s="173"/>
      <c r="N66" s="173"/>
      <c r="O66" s="173"/>
      <c r="P66" s="173"/>
      <c r="Q66" s="173"/>
      <c r="R66" s="173"/>
    </row>
    <row r="67" spans="4:18" ht="15" customHeight="1" x14ac:dyDescent="0.25">
      <c r="D67" s="213">
        <f>DATE(STARTING_YEAR,4,1)</f>
        <v>44652</v>
      </c>
      <c r="E67" s="166" t="s">
        <v>115</v>
      </c>
      <c r="F67" s="181">
        <v>4</v>
      </c>
      <c r="G67" s="88"/>
      <c r="H67" s="177">
        <f t="shared" ref="H67" si="9">1*$E$49</f>
        <v>0</v>
      </c>
      <c r="I67" s="169">
        <f t="shared" ref="I67" si="10">1*$E$52</f>
        <v>0</v>
      </c>
      <c r="J67" s="184" t="s">
        <v>72</v>
      </c>
      <c r="K67" s="187">
        <v>5650</v>
      </c>
      <c r="L67" s="190">
        <v>5650</v>
      </c>
      <c r="M67" s="196" t="s">
        <v>72</v>
      </c>
      <c r="N67" s="171">
        <f>IF(cc_delta&gt;0,cc_delta,0)</f>
        <v>5650</v>
      </c>
      <c r="O67" s="171">
        <f>IF(cc_delta&lt;0,ABS(cc_delta),0)</f>
        <v>0</v>
      </c>
      <c r="P67" s="171" t="s">
        <v>72</v>
      </c>
      <c r="Q67" s="171" t="s">
        <v>72</v>
      </c>
      <c r="R67" s="171">
        <v>203</v>
      </c>
    </row>
    <row r="68" spans="4:18" ht="15" customHeight="1" x14ac:dyDescent="0.25">
      <c r="D68" s="214"/>
      <c r="E68" s="167" t="s">
        <v>116</v>
      </c>
      <c r="F68" s="179">
        <v>4</v>
      </c>
      <c r="H68" s="177">
        <f t="shared" ref="H68" si="11">1*$E$50</f>
        <v>0</v>
      </c>
      <c r="I68" s="177">
        <f t="shared" si="2"/>
        <v>0</v>
      </c>
      <c r="J68" s="184" t="s">
        <v>72</v>
      </c>
      <c r="K68" s="188">
        <v>3800</v>
      </c>
      <c r="L68" s="191">
        <v>3800</v>
      </c>
      <c r="M68" s="196" t="s">
        <v>72</v>
      </c>
      <c r="N68" s="171">
        <f>IF(cc_delta&gt;0,cc_delta,0)</f>
        <v>3800</v>
      </c>
      <c r="O68" s="171">
        <f>IF(cc_delta&lt;0,ABS(cc_delta),0)</f>
        <v>0</v>
      </c>
      <c r="P68" s="171" t="s">
        <v>72</v>
      </c>
      <c r="Q68" s="171">
        <v>100</v>
      </c>
      <c r="R68" s="171" t="s">
        <v>72</v>
      </c>
    </row>
    <row r="69" spans="4:18" ht="15" customHeight="1" x14ac:dyDescent="0.25">
      <c r="D69" s="214"/>
      <c r="E69" s="167" t="s">
        <v>117</v>
      </c>
      <c r="F69" s="179">
        <v>4</v>
      </c>
      <c r="H69" s="177">
        <f t="shared" ref="H69" si="12">1*$E$51</f>
        <v>1</v>
      </c>
      <c r="I69" s="177">
        <f t="shared" si="2"/>
        <v>0</v>
      </c>
      <c r="J69" s="184" t="s">
        <v>72</v>
      </c>
      <c r="K69" s="188">
        <v>1850</v>
      </c>
      <c r="L69" s="191">
        <v>1850</v>
      </c>
      <c r="M69" s="196" t="s">
        <v>72</v>
      </c>
      <c r="N69" s="171">
        <f>IF(cc_delta&gt;0,cc_delta,0)</f>
        <v>1850</v>
      </c>
      <c r="O69" s="171">
        <f>IF(cc_delta&lt;0,ABS(cc_delta),0)</f>
        <v>0</v>
      </c>
      <c r="P69" s="171" t="s">
        <v>72</v>
      </c>
      <c r="Q69" s="171" t="s">
        <v>72</v>
      </c>
      <c r="R69" s="171">
        <v>303</v>
      </c>
    </row>
    <row r="70" spans="4:18" ht="15" customHeight="1" x14ac:dyDescent="0.25">
      <c r="D70" s="215"/>
      <c r="E70" s="168"/>
      <c r="F70" s="180"/>
      <c r="G70" s="61"/>
      <c r="H70" s="183"/>
      <c r="I70" s="168"/>
      <c r="J70" s="185" t="s">
        <v>72</v>
      </c>
      <c r="K70" s="189"/>
      <c r="L70" s="192"/>
      <c r="M70" s="173"/>
      <c r="N70" s="173"/>
      <c r="O70" s="173"/>
      <c r="P70" s="173"/>
      <c r="Q70" s="173"/>
      <c r="R70" s="173"/>
    </row>
    <row r="71" spans="4:18" ht="15" customHeight="1" x14ac:dyDescent="0.25">
      <c r="D71" s="213">
        <f>DATE(STARTING_YEAR,5,1)</f>
        <v>44682</v>
      </c>
      <c r="E71" s="166" t="s">
        <v>115</v>
      </c>
      <c r="F71" s="181">
        <v>5</v>
      </c>
      <c r="G71" s="88"/>
      <c r="H71" s="177">
        <f t="shared" ref="H71" si="13">1*$E$49</f>
        <v>0</v>
      </c>
      <c r="I71" s="169">
        <f t="shared" ref="I71" si="14">1*$E$52</f>
        <v>0</v>
      </c>
      <c r="J71" s="184" t="s">
        <v>72</v>
      </c>
      <c r="K71" s="187">
        <v>5550</v>
      </c>
      <c r="L71" s="190">
        <v>5550</v>
      </c>
      <c r="M71" s="171">
        <f>MIN(cc_tracked,cc_budget)</f>
        <v>5550</v>
      </c>
      <c r="N71" s="171">
        <f>IF(cc_delta&gt;0,cc_delta,0)</f>
        <v>5550</v>
      </c>
      <c r="O71" s="171">
        <f>IF(cc_delta&lt;0,ABS(cc_delta),0)</f>
        <v>0</v>
      </c>
      <c r="P71" s="171" t="s">
        <v>72</v>
      </c>
      <c r="Q71" s="171" t="s">
        <v>72</v>
      </c>
      <c r="R71" s="171">
        <v>204</v>
      </c>
    </row>
    <row r="72" spans="4:18" ht="15" customHeight="1" x14ac:dyDescent="0.25">
      <c r="D72" s="214"/>
      <c r="E72" s="167" t="s">
        <v>116</v>
      </c>
      <c r="F72" s="179">
        <v>5</v>
      </c>
      <c r="H72" s="177">
        <f t="shared" ref="H72" si="15">1*$E$50</f>
        <v>0</v>
      </c>
      <c r="I72" s="177">
        <f t="shared" si="2"/>
        <v>0</v>
      </c>
      <c r="J72" s="184" t="s">
        <v>72</v>
      </c>
      <c r="K72" s="188">
        <v>2900</v>
      </c>
      <c r="L72" s="191">
        <v>2900</v>
      </c>
      <c r="M72" s="171">
        <f>MIN(cc_tracked,cc_budget)</f>
        <v>2900</v>
      </c>
      <c r="N72" s="171">
        <f>IF(cc_delta&gt;0,cc_delta,0)</f>
        <v>2900</v>
      </c>
      <c r="O72" s="171">
        <f>IF(cc_delta&lt;0,ABS(cc_delta),0)</f>
        <v>0</v>
      </c>
      <c r="P72" s="171" t="s">
        <v>72</v>
      </c>
      <c r="Q72" s="171">
        <v>100</v>
      </c>
      <c r="R72" s="171" t="s">
        <v>72</v>
      </c>
    </row>
    <row r="73" spans="4:18" ht="15" customHeight="1" x14ac:dyDescent="0.25">
      <c r="D73" s="214"/>
      <c r="E73" s="167" t="s">
        <v>117</v>
      </c>
      <c r="F73" s="179">
        <v>5</v>
      </c>
      <c r="H73" s="177">
        <f t="shared" ref="H73" si="16">1*$E$51</f>
        <v>1</v>
      </c>
      <c r="I73" s="177">
        <f t="shared" si="2"/>
        <v>0</v>
      </c>
      <c r="J73" s="184" t="s">
        <v>72</v>
      </c>
      <c r="K73" s="188">
        <v>2650</v>
      </c>
      <c r="L73" s="191">
        <v>2650</v>
      </c>
      <c r="M73" s="171">
        <f>MIN(cc_tracked,cc_budget)</f>
        <v>2650</v>
      </c>
      <c r="N73" s="171">
        <f>IF(cc_delta&gt;0,cc_delta,0)</f>
        <v>2650</v>
      </c>
      <c r="O73" s="171">
        <f>IF(cc_delta&lt;0,ABS(cc_delta),0)</f>
        <v>0</v>
      </c>
      <c r="P73" s="171" t="s">
        <v>72</v>
      </c>
      <c r="Q73" s="171" t="s">
        <v>72</v>
      </c>
      <c r="R73" s="171">
        <v>304</v>
      </c>
    </row>
    <row r="74" spans="4:18" ht="15" customHeight="1" x14ac:dyDescent="0.25">
      <c r="D74" s="215"/>
      <c r="E74" s="168"/>
      <c r="F74" s="180"/>
      <c r="G74" s="61"/>
      <c r="H74" s="183"/>
      <c r="I74" s="168"/>
      <c r="J74" s="185" t="s">
        <v>72</v>
      </c>
      <c r="K74" s="189"/>
      <c r="L74" s="192"/>
      <c r="M74" s="173"/>
      <c r="N74" s="173"/>
      <c r="O74" s="173"/>
      <c r="P74" s="173"/>
      <c r="Q74" s="173"/>
      <c r="R74" s="173"/>
    </row>
    <row r="75" spans="4:18" ht="15" customHeight="1" x14ac:dyDescent="0.25">
      <c r="D75" s="213">
        <f>DATE(STARTING_YEAR,6,1)</f>
        <v>44713</v>
      </c>
      <c r="E75" s="166" t="s">
        <v>115</v>
      </c>
      <c r="F75" s="181">
        <v>6</v>
      </c>
      <c r="G75" s="88"/>
      <c r="H75" s="177">
        <f t="shared" ref="H75" si="17">1*$E$49</f>
        <v>0</v>
      </c>
      <c r="I75" s="169">
        <f t="shared" ref="I75" si="18">1*$E$52</f>
        <v>0</v>
      </c>
      <c r="J75" s="184" t="s">
        <v>72</v>
      </c>
      <c r="K75" s="187">
        <v>5600</v>
      </c>
      <c r="L75" s="190">
        <v>5600</v>
      </c>
      <c r="M75" s="171">
        <f>MIN(cc_tracked,cc_budget)</f>
        <v>5600</v>
      </c>
      <c r="N75" s="171">
        <f>IF(cc_delta&gt;0,cc_delta,0)</f>
        <v>5600</v>
      </c>
      <c r="O75" s="171">
        <f>IF(cc_delta&lt;0,ABS(cc_delta),0)</f>
        <v>0</v>
      </c>
      <c r="P75" s="171" t="s">
        <v>72</v>
      </c>
      <c r="Q75" s="171" t="s">
        <v>72</v>
      </c>
      <c r="R75" s="171">
        <v>205</v>
      </c>
    </row>
    <row r="76" spans="4:18" ht="15" customHeight="1" x14ac:dyDescent="0.25">
      <c r="D76" s="214"/>
      <c r="E76" s="167" t="s">
        <v>116</v>
      </c>
      <c r="F76" s="179">
        <v>6</v>
      </c>
      <c r="H76" s="177">
        <f t="shared" ref="H76" si="19">1*$E$50</f>
        <v>0</v>
      </c>
      <c r="I76" s="177">
        <f t="shared" si="2"/>
        <v>0</v>
      </c>
      <c r="J76" s="184" t="s">
        <v>72</v>
      </c>
      <c r="K76" s="188">
        <v>3050</v>
      </c>
      <c r="L76" s="191">
        <v>3050</v>
      </c>
      <c r="M76" s="171">
        <f>MIN(cc_tracked,cc_budget)</f>
        <v>3050</v>
      </c>
      <c r="N76" s="171">
        <f>IF(cc_delta&gt;0,cc_delta,0)</f>
        <v>3050</v>
      </c>
      <c r="O76" s="171">
        <f>IF(cc_delta&lt;0,ABS(cc_delta),0)</f>
        <v>0</v>
      </c>
      <c r="P76" s="171" t="s">
        <v>72</v>
      </c>
      <c r="Q76" s="171">
        <v>100</v>
      </c>
      <c r="R76" s="171" t="s">
        <v>72</v>
      </c>
    </row>
    <row r="77" spans="4:18" ht="15" customHeight="1" x14ac:dyDescent="0.25">
      <c r="D77" s="214"/>
      <c r="E77" s="167" t="s">
        <v>117</v>
      </c>
      <c r="F77" s="179">
        <v>6</v>
      </c>
      <c r="H77" s="177">
        <f t="shared" ref="H77" si="20">1*$E$51</f>
        <v>1</v>
      </c>
      <c r="I77" s="177">
        <f t="shared" si="2"/>
        <v>0</v>
      </c>
      <c r="J77" s="184" t="s">
        <v>72</v>
      </c>
      <c r="K77" s="188">
        <v>2550</v>
      </c>
      <c r="L77" s="191">
        <v>2550</v>
      </c>
      <c r="M77" s="171">
        <f>MIN(cc_tracked,cc_budget)</f>
        <v>2550</v>
      </c>
      <c r="N77" s="171">
        <f>IF(cc_delta&gt;0,cc_delta,0)</f>
        <v>2550</v>
      </c>
      <c r="O77" s="171">
        <f>IF(cc_delta&lt;0,ABS(cc_delta),0)</f>
        <v>0</v>
      </c>
      <c r="P77" s="171" t="s">
        <v>72</v>
      </c>
      <c r="Q77" s="171" t="s">
        <v>72</v>
      </c>
      <c r="R77" s="171">
        <v>305</v>
      </c>
    </row>
    <row r="78" spans="4:18" ht="15" customHeight="1" x14ac:dyDescent="0.25">
      <c r="D78" s="215"/>
      <c r="E78" s="168"/>
      <c r="F78" s="180"/>
      <c r="G78" s="61"/>
      <c r="H78" s="183"/>
      <c r="I78" s="168"/>
      <c r="J78" s="185" t="s">
        <v>72</v>
      </c>
      <c r="K78" s="189"/>
      <c r="L78" s="192"/>
      <c r="M78" s="173"/>
      <c r="N78" s="173"/>
      <c r="O78" s="173"/>
      <c r="P78" s="173"/>
      <c r="Q78" s="173"/>
      <c r="R78" s="173"/>
    </row>
    <row r="79" spans="4:18" ht="15" customHeight="1" x14ac:dyDescent="0.25">
      <c r="D79" s="213">
        <f>DATE(STARTING_YEAR,7,1)</f>
        <v>44743</v>
      </c>
      <c r="E79" s="166" t="s">
        <v>115</v>
      </c>
      <c r="F79" s="181">
        <v>7</v>
      </c>
      <c r="G79" s="88"/>
      <c r="H79" s="177">
        <f t="shared" ref="H79" si="21">1*$E$49</f>
        <v>0</v>
      </c>
      <c r="I79" s="169">
        <f t="shared" ref="I79" si="22">1*$E$52</f>
        <v>0</v>
      </c>
      <c r="J79" s="184" t="s">
        <v>72</v>
      </c>
      <c r="K79" s="187">
        <v>5650</v>
      </c>
      <c r="L79" s="187">
        <v>5650</v>
      </c>
      <c r="M79" s="171">
        <f>MIN(cc_tracked,cc_budget)</f>
        <v>5650</v>
      </c>
      <c r="N79" s="171">
        <f>IF(cc_delta&gt;0,cc_delta,0)</f>
        <v>5650</v>
      </c>
      <c r="O79" s="171">
        <f>IF(cc_delta&lt;0,ABS(cc_delta),0)</f>
        <v>0</v>
      </c>
      <c r="P79" s="171" t="s">
        <v>72</v>
      </c>
      <c r="Q79" s="171" t="s">
        <v>72</v>
      </c>
      <c r="R79" s="171">
        <v>206</v>
      </c>
    </row>
    <row r="80" spans="4:18" ht="15" customHeight="1" x14ac:dyDescent="0.25">
      <c r="D80" s="214"/>
      <c r="E80" s="167" t="s">
        <v>116</v>
      </c>
      <c r="F80" s="179">
        <v>7</v>
      </c>
      <c r="H80" s="177">
        <f t="shared" ref="H80" si="23">1*$E$50</f>
        <v>0</v>
      </c>
      <c r="I80" s="177">
        <f t="shared" si="2"/>
        <v>0</v>
      </c>
      <c r="J80" s="184" t="s">
        <v>72</v>
      </c>
      <c r="K80" s="188">
        <v>2900</v>
      </c>
      <c r="L80" s="188">
        <v>2900</v>
      </c>
      <c r="M80" s="171">
        <f>MIN(cc_tracked,cc_budget)</f>
        <v>2900</v>
      </c>
      <c r="N80" s="171">
        <f>IF(cc_delta&gt;0,cc_delta,0)</f>
        <v>2900</v>
      </c>
      <c r="O80" s="171">
        <f>IF(cc_delta&lt;0,ABS(cc_delta),0)</f>
        <v>0</v>
      </c>
      <c r="P80" s="171" t="s">
        <v>72</v>
      </c>
      <c r="Q80" s="171">
        <v>100</v>
      </c>
      <c r="R80" s="171" t="s">
        <v>72</v>
      </c>
    </row>
    <row r="81" spans="4:18" ht="15" customHeight="1" x14ac:dyDescent="0.25">
      <c r="D81" s="214"/>
      <c r="E81" s="167" t="s">
        <v>117</v>
      </c>
      <c r="F81" s="179">
        <v>7</v>
      </c>
      <c r="H81" s="177">
        <f t="shared" ref="H81" si="24">1*$E$51</f>
        <v>1</v>
      </c>
      <c r="I81" s="177">
        <f t="shared" si="2"/>
        <v>0</v>
      </c>
      <c r="J81" s="184" t="s">
        <v>72</v>
      </c>
      <c r="K81" s="188">
        <v>2750</v>
      </c>
      <c r="L81" s="188">
        <v>2750</v>
      </c>
      <c r="M81" s="171">
        <f>MIN(cc_tracked,cc_budget)</f>
        <v>2750</v>
      </c>
      <c r="N81" s="171">
        <f>IF(cc_delta&gt;0,cc_delta,0)</f>
        <v>2750</v>
      </c>
      <c r="O81" s="171">
        <f>IF(cc_delta&lt;0,ABS(cc_delta),0)</f>
        <v>0</v>
      </c>
      <c r="P81" s="171" t="s">
        <v>72</v>
      </c>
      <c r="Q81" s="171" t="s">
        <v>72</v>
      </c>
      <c r="R81" s="171">
        <v>306</v>
      </c>
    </row>
    <row r="82" spans="4:18" ht="15" customHeight="1" x14ac:dyDescent="0.25">
      <c r="D82" s="215"/>
      <c r="E82" s="168"/>
      <c r="F82" s="180"/>
      <c r="G82" s="61"/>
      <c r="H82" s="183"/>
      <c r="I82" s="168"/>
      <c r="J82" s="185" t="s">
        <v>72</v>
      </c>
      <c r="K82" s="189"/>
      <c r="L82" s="189"/>
      <c r="M82" s="173"/>
      <c r="N82" s="173"/>
      <c r="O82" s="173"/>
      <c r="P82" s="173"/>
      <c r="Q82" s="173"/>
      <c r="R82" s="173"/>
    </row>
    <row r="83" spans="4:18" ht="15" customHeight="1" x14ac:dyDescent="0.25">
      <c r="D83" s="213">
        <f>DATE(STARTING_YEAR,8,1)</f>
        <v>44774</v>
      </c>
      <c r="E83" s="166" t="s">
        <v>115</v>
      </c>
      <c r="F83" s="181">
        <v>8</v>
      </c>
      <c r="G83" s="88"/>
      <c r="H83" s="177">
        <f t="shared" ref="H83" si="25">1*$E$49</f>
        <v>0</v>
      </c>
      <c r="I83" s="169">
        <f t="shared" ref="I83" si="26">1*$E$52</f>
        <v>0</v>
      </c>
      <c r="J83" s="184" t="s">
        <v>72</v>
      </c>
      <c r="K83" s="187">
        <v>5550</v>
      </c>
      <c r="L83" s="187">
        <v>5550</v>
      </c>
      <c r="M83" s="171">
        <f>MIN(cc_tracked,cc_budget)</f>
        <v>5550</v>
      </c>
      <c r="N83" s="171">
        <f>IF(cc_delta&gt;0,cc_delta,0)</f>
        <v>5550</v>
      </c>
      <c r="O83" s="171">
        <f>IF(cc_delta&lt;0,ABS(cc_delta),0)</f>
        <v>0</v>
      </c>
      <c r="P83" s="171" t="s">
        <v>72</v>
      </c>
      <c r="Q83" s="171" t="s">
        <v>72</v>
      </c>
      <c r="R83" s="171">
        <v>207</v>
      </c>
    </row>
    <row r="84" spans="4:18" ht="15" customHeight="1" x14ac:dyDescent="0.25">
      <c r="D84" s="214"/>
      <c r="E84" s="167" t="s">
        <v>116</v>
      </c>
      <c r="F84" s="179">
        <v>8</v>
      </c>
      <c r="H84" s="177">
        <f t="shared" ref="H84" si="27">1*$E$50</f>
        <v>0</v>
      </c>
      <c r="I84" s="177">
        <f t="shared" si="2"/>
        <v>0</v>
      </c>
      <c r="J84" s="184" t="s">
        <v>72</v>
      </c>
      <c r="K84" s="188">
        <v>4100</v>
      </c>
      <c r="L84" s="188">
        <v>4100</v>
      </c>
      <c r="M84" s="171">
        <f>MIN(cc_tracked,cc_budget)</f>
        <v>4100</v>
      </c>
      <c r="N84" s="171">
        <f>IF(cc_delta&gt;0,cc_delta,0)</f>
        <v>4100</v>
      </c>
      <c r="O84" s="171">
        <f>IF(cc_delta&lt;0,ABS(cc_delta),0)</f>
        <v>0</v>
      </c>
      <c r="P84" s="171" t="s">
        <v>72</v>
      </c>
      <c r="Q84" s="171">
        <v>100</v>
      </c>
      <c r="R84" s="171" t="s">
        <v>72</v>
      </c>
    </row>
    <row r="85" spans="4:18" ht="15" customHeight="1" x14ac:dyDescent="0.25">
      <c r="D85" s="214"/>
      <c r="E85" s="167" t="s">
        <v>117</v>
      </c>
      <c r="F85" s="179">
        <v>8</v>
      </c>
      <c r="H85" s="177">
        <f t="shared" ref="H85" si="28">1*$E$51</f>
        <v>1</v>
      </c>
      <c r="I85" s="177">
        <f t="shared" si="2"/>
        <v>0</v>
      </c>
      <c r="J85" s="184" t="s">
        <v>72</v>
      </c>
      <c r="K85" s="188">
        <v>1450</v>
      </c>
      <c r="L85" s="188">
        <v>1450</v>
      </c>
      <c r="M85" s="171">
        <f>MIN(cc_tracked,cc_budget)</f>
        <v>1450</v>
      </c>
      <c r="N85" s="171">
        <f>IF(cc_delta&gt;0,cc_delta,0)</f>
        <v>1450</v>
      </c>
      <c r="O85" s="171">
        <f>IF(cc_delta&lt;0,ABS(cc_delta),0)</f>
        <v>0</v>
      </c>
      <c r="P85" s="171" t="s">
        <v>72</v>
      </c>
      <c r="Q85" s="171" t="s">
        <v>72</v>
      </c>
      <c r="R85" s="171">
        <v>307</v>
      </c>
    </row>
    <row r="86" spans="4:18" ht="15" customHeight="1" x14ac:dyDescent="0.25">
      <c r="D86" s="215"/>
      <c r="E86" s="168"/>
      <c r="F86" s="180"/>
      <c r="G86" s="61"/>
      <c r="H86" s="183"/>
      <c r="I86" s="168"/>
      <c r="J86" s="185" t="s">
        <v>72</v>
      </c>
      <c r="K86" s="189"/>
      <c r="L86" s="189"/>
      <c r="M86" s="173"/>
      <c r="N86" s="173"/>
      <c r="O86" s="173"/>
      <c r="P86" s="173"/>
      <c r="Q86" s="173"/>
      <c r="R86" s="173"/>
    </row>
    <row r="87" spans="4:18" ht="15" customHeight="1" x14ac:dyDescent="0.25">
      <c r="D87" s="213">
        <f>DATE(STARTING_YEAR,9,1)</f>
        <v>44805</v>
      </c>
      <c r="E87" s="166" t="s">
        <v>115</v>
      </c>
      <c r="F87" s="181">
        <v>9</v>
      </c>
      <c r="G87" s="88"/>
      <c r="H87" s="177">
        <f t="shared" ref="H87" si="29">1*$E$49</f>
        <v>0</v>
      </c>
      <c r="I87" s="169">
        <f t="shared" ref="I87" si="30">1*$E$52</f>
        <v>0</v>
      </c>
      <c r="J87" s="184" t="s">
        <v>72</v>
      </c>
      <c r="K87" s="187">
        <v>5600</v>
      </c>
      <c r="L87" s="187">
        <v>5600</v>
      </c>
      <c r="M87" s="171">
        <f>MIN(cc_tracked,cc_budget)</f>
        <v>5600</v>
      </c>
      <c r="N87" s="171">
        <f>IF(cc_delta&gt;0,cc_delta,0)</f>
        <v>5600</v>
      </c>
      <c r="O87" s="171">
        <f>IF(cc_delta&lt;0,ABS(cc_delta),0)</f>
        <v>0</v>
      </c>
      <c r="P87" s="171" t="s">
        <v>72</v>
      </c>
      <c r="Q87" s="171" t="s">
        <v>72</v>
      </c>
      <c r="R87" s="171">
        <v>208</v>
      </c>
    </row>
    <row r="88" spans="4:18" ht="15" customHeight="1" x14ac:dyDescent="0.25">
      <c r="D88" s="214"/>
      <c r="E88" s="167" t="s">
        <v>116</v>
      </c>
      <c r="F88" s="179">
        <v>9</v>
      </c>
      <c r="H88" s="177">
        <f t="shared" ref="H88" si="31">1*$E$50</f>
        <v>0</v>
      </c>
      <c r="I88" s="177">
        <f t="shared" si="2"/>
        <v>0</v>
      </c>
      <c r="J88" s="184" t="s">
        <v>72</v>
      </c>
      <c r="K88" s="188">
        <v>3050</v>
      </c>
      <c r="L88" s="188">
        <v>3050</v>
      </c>
      <c r="M88" s="171">
        <f>MIN(cc_tracked,cc_budget)</f>
        <v>3050</v>
      </c>
      <c r="N88" s="171">
        <f>IF(cc_delta&gt;0,cc_delta,0)</f>
        <v>3050</v>
      </c>
      <c r="O88" s="171">
        <f>IF(cc_delta&lt;0,ABS(cc_delta),0)</f>
        <v>0</v>
      </c>
      <c r="P88" s="171" t="s">
        <v>72</v>
      </c>
      <c r="Q88" s="171">
        <v>100</v>
      </c>
      <c r="R88" s="171" t="s">
        <v>72</v>
      </c>
    </row>
    <row r="89" spans="4:18" ht="15" customHeight="1" x14ac:dyDescent="0.25">
      <c r="D89" s="214"/>
      <c r="E89" s="167" t="s">
        <v>117</v>
      </c>
      <c r="F89" s="179">
        <v>9</v>
      </c>
      <c r="H89" s="177">
        <f t="shared" ref="H89" si="32">1*$E$51</f>
        <v>1</v>
      </c>
      <c r="I89" s="177">
        <f t="shared" si="2"/>
        <v>0</v>
      </c>
      <c r="J89" s="184" t="s">
        <v>72</v>
      </c>
      <c r="K89" s="188">
        <v>2550</v>
      </c>
      <c r="L89" s="188">
        <v>2550</v>
      </c>
      <c r="M89" s="171">
        <f>MIN(cc_tracked,cc_budget)</f>
        <v>2550</v>
      </c>
      <c r="N89" s="171">
        <f>IF(cc_delta&gt;0,cc_delta,0)</f>
        <v>2550</v>
      </c>
      <c r="O89" s="171">
        <f>IF(cc_delta&lt;0,ABS(cc_delta),0)</f>
        <v>0</v>
      </c>
      <c r="P89" s="171" t="s">
        <v>72</v>
      </c>
      <c r="Q89" s="171" t="s">
        <v>72</v>
      </c>
      <c r="R89" s="171">
        <v>308</v>
      </c>
    </row>
    <row r="90" spans="4:18" ht="15" customHeight="1" x14ac:dyDescent="0.25">
      <c r="D90" s="215"/>
      <c r="E90" s="168"/>
      <c r="F90" s="180"/>
      <c r="G90" s="61"/>
      <c r="H90" s="183"/>
      <c r="I90" s="168"/>
      <c r="J90" s="185" t="s">
        <v>72</v>
      </c>
      <c r="K90" s="189"/>
      <c r="L90" s="189"/>
      <c r="M90" s="173"/>
      <c r="N90" s="173"/>
      <c r="O90" s="173"/>
      <c r="P90" s="173"/>
      <c r="Q90" s="173"/>
      <c r="R90" s="173"/>
    </row>
    <row r="91" spans="4:18" ht="15" customHeight="1" x14ac:dyDescent="0.25">
      <c r="D91" s="213">
        <f>DATE(STARTING_YEAR,10,1)</f>
        <v>44835</v>
      </c>
      <c r="E91" s="166" t="s">
        <v>115</v>
      </c>
      <c r="F91" s="181">
        <v>10</v>
      </c>
      <c r="G91" s="88"/>
      <c r="H91" s="177">
        <f t="shared" ref="H91" si="33">1*$E$49</f>
        <v>0</v>
      </c>
      <c r="I91" s="169">
        <f t="shared" ref="I91" si="34">1*$E$52</f>
        <v>0</v>
      </c>
      <c r="J91" s="184" t="s">
        <v>72</v>
      </c>
      <c r="K91" s="187">
        <v>5650</v>
      </c>
      <c r="L91" s="187">
        <v>5650</v>
      </c>
      <c r="M91" s="171">
        <f>MIN(cc_tracked,cc_budget)</f>
        <v>5650</v>
      </c>
      <c r="N91" s="171">
        <f>IF(cc_delta&gt;0,cc_delta,0)</f>
        <v>5650</v>
      </c>
      <c r="O91" s="171">
        <f>IF(cc_delta&lt;0,ABS(cc_delta),0)</f>
        <v>0</v>
      </c>
      <c r="P91" s="171" t="s">
        <v>72</v>
      </c>
      <c r="Q91" s="171" t="s">
        <v>72</v>
      </c>
      <c r="R91" s="171">
        <v>209</v>
      </c>
    </row>
    <row r="92" spans="4:18" ht="15" customHeight="1" x14ac:dyDescent="0.25">
      <c r="D92" s="214"/>
      <c r="E92" s="167" t="s">
        <v>116</v>
      </c>
      <c r="F92" s="179">
        <v>10</v>
      </c>
      <c r="H92" s="177">
        <f t="shared" ref="H92" si="35">1*$E$50</f>
        <v>0</v>
      </c>
      <c r="I92" s="177">
        <f t="shared" si="2"/>
        <v>0</v>
      </c>
      <c r="J92" s="186" t="s">
        <v>72</v>
      </c>
      <c r="K92" s="188">
        <v>2900</v>
      </c>
      <c r="L92" s="188">
        <v>2900</v>
      </c>
      <c r="M92" s="171">
        <f>MIN(cc_tracked,cc_budget)</f>
        <v>2900</v>
      </c>
      <c r="N92" s="171">
        <f>IF(cc_delta&gt;0,cc_delta,0)</f>
        <v>2900</v>
      </c>
      <c r="O92" s="171">
        <f>IF(cc_delta&lt;0,ABS(cc_delta),0)</f>
        <v>0</v>
      </c>
      <c r="P92" s="171" t="s">
        <v>72</v>
      </c>
      <c r="Q92" s="171">
        <v>100</v>
      </c>
      <c r="R92" s="171" t="s">
        <v>72</v>
      </c>
    </row>
    <row r="93" spans="4:18" ht="15" customHeight="1" x14ac:dyDescent="0.25">
      <c r="D93" s="214"/>
      <c r="E93" s="167" t="s">
        <v>117</v>
      </c>
      <c r="F93" s="179">
        <v>10</v>
      </c>
      <c r="H93" s="177">
        <f t="shared" ref="H93" si="36">1*$E$51</f>
        <v>1</v>
      </c>
      <c r="I93" s="177">
        <f t="shared" si="2"/>
        <v>0</v>
      </c>
      <c r="J93" s="184" t="s">
        <v>72</v>
      </c>
      <c r="K93" s="188">
        <v>2750</v>
      </c>
      <c r="L93" s="188">
        <v>2750</v>
      </c>
      <c r="M93" s="171">
        <f>MIN(cc_tracked,cc_budget)</f>
        <v>2750</v>
      </c>
      <c r="N93" s="171">
        <f>IF(cc_delta&gt;0,cc_delta,0)</f>
        <v>2750</v>
      </c>
      <c r="O93" s="171">
        <f>IF(cc_delta&lt;0,ABS(cc_delta),0)</f>
        <v>0</v>
      </c>
      <c r="P93" s="171" t="s">
        <v>72</v>
      </c>
      <c r="Q93" s="171" t="s">
        <v>72</v>
      </c>
      <c r="R93" s="171">
        <v>309</v>
      </c>
    </row>
    <row r="94" spans="4:18" ht="15" customHeight="1" x14ac:dyDescent="0.25">
      <c r="D94" s="215"/>
      <c r="E94" s="168"/>
      <c r="F94" s="180"/>
      <c r="G94" s="61"/>
      <c r="H94" s="183"/>
      <c r="I94" s="168"/>
      <c r="J94" s="185" t="s">
        <v>72</v>
      </c>
      <c r="K94" s="189"/>
      <c r="L94" s="189"/>
      <c r="M94" s="173"/>
      <c r="N94" s="173"/>
      <c r="O94" s="173"/>
      <c r="P94" s="173"/>
      <c r="Q94" s="173"/>
      <c r="R94" s="173"/>
    </row>
    <row r="95" spans="4:18" ht="15" customHeight="1" x14ac:dyDescent="0.25">
      <c r="D95" s="213">
        <f>DATE(STARTING_YEAR,11,1)</f>
        <v>44866</v>
      </c>
      <c r="E95" s="166" t="s">
        <v>115</v>
      </c>
      <c r="F95" s="181">
        <v>11</v>
      </c>
      <c r="G95" s="88"/>
      <c r="H95" s="177">
        <f t="shared" ref="H95" si="37">1*$E$49</f>
        <v>0</v>
      </c>
      <c r="I95" s="169">
        <f t="shared" ref="I95" si="38">1*$E$52</f>
        <v>0</v>
      </c>
      <c r="J95" s="184" t="s">
        <v>72</v>
      </c>
      <c r="K95" s="187">
        <v>5550</v>
      </c>
      <c r="L95" s="187">
        <v>5550</v>
      </c>
      <c r="M95" s="171">
        <f>MIN(cc_tracked,cc_budget)</f>
        <v>5550</v>
      </c>
      <c r="N95" s="171">
        <f>IF(cc_delta&gt;0,cc_delta,0)</f>
        <v>5550</v>
      </c>
      <c r="O95" s="171">
        <f>IF(cc_delta&lt;0,ABS(cc_delta),0)</f>
        <v>0</v>
      </c>
      <c r="P95" s="171" t="s">
        <v>72</v>
      </c>
      <c r="Q95" s="171" t="s">
        <v>72</v>
      </c>
      <c r="R95" s="171">
        <v>210</v>
      </c>
    </row>
    <row r="96" spans="4:18" ht="15" customHeight="1" x14ac:dyDescent="0.25">
      <c r="D96" s="214"/>
      <c r="E96" s="167" t="s">
        <v>116</v>
      </c>
      <c r="F96" s="179">
        <v>11</v>
      </c>
      <c r="H96" s="177">
        <f t="shared" ref="H96" si="39">1*$E$50</f>
        <v>0</v>
      </c>
      <c r="I96" s="177">
        <f t="shared" si="2"/>
        <v>0</v>
      </c>
      <c r="J96" s="184" t="s">
        <v>72</v>
      </c>
      <c r="K96" s="188">
        <v>2900</v>
      </c>
      <c r="L96" s="188">
        <v>2900</v>
      </c>
      <c r="M96" s="171">
        <f>MIN(cc_tracked,cc_budget)</f>
        <v>2900</v>
      </c>
      <c r="N96" s="171">
        <f>IF(cc_delta&gt;0,cc_delta,0)</f>
        <v>2900</v>
      </c>
      <c r="O96" s="171">
        <f>IF(cc_delta&lt;0,ABS(cc_delta),0)</f>
        <v>0</v>
      </c>
      <c r="P96" s="171" t="s">
        <v>72</v>
      </c>
      <c r="Q96" s="171">
        <v>100</v>
      </c>
      <c r="R96" s="171" t="s">
        <v>72</v>
      </c>
    </row>
    <row r="97" spans="4:18" ht="15" customHeight="1" x14ac:dyDescent="0.25">
      <c r="D97" s="214"/>
      <c r="E97" s="167" t="s">
        <v>117</v>
      </c>
      <c r="F97" s="179">
        <v>11</v>
      </c>
      <c r="H97" s="177">
        <f t="shared" ref="H97" si="40">1*$E$51</f>
        <v>1</v>
      </c>
      <c r="I97" s="177">
        <f t="shared" si="2"/>
        <v>0</v>
      </c>
      <c r="J97" s="184" t="s">
        <v>72</v>
      </c>
      <c r="K97" s="188">
        <v>2650</v>
      </c>
      <c r="L97" s="188">
        <v>2650</v>
      </c>
      <c r="M97" s="171">
        <f>MIN(cc_tracked,cc_budget)</f>
        <v>2650</v>
      </c>
      <c r="N97" s="171">
        <f>IF(cc_delta&gt;0,cc_delta,0)</f>
        <v>2650</v>
      </c>
      <c r="O97" s="171">
        <f>IF(cc_delta&lt;0,ABS(cc_delta),0)</f>
        <v>0</v>
      </c>
      <c r="P97" s="171" t="s">
        <v>72</v>
      </c>
      <c r="Q97" s="171" t="s">
        <v>72</v>
      </c>
      <c r="R97" s="171">
        <v>310</v>
      </c>
    </row>
    <row r="98" spans="4:18" ht="15" customHeight="1" x14ac:dyDescent="0.25">
      <c r="D98" s="215"/>
      <c r="E98" s="168"/>
      <c r="F98" s="180"/>
      <c r="G98" s="61"/>
      <c r="H98" s="183"/>
      <c r="I98" s="168"/>
      <c r="J98" s="185" t="s">
        <v>72</v>
      </c>
      <c r="K98" s="189"/>
      <c r="L98" s="189"/>
      <c r="M98" s="173"/>
      <c r="N98" s="173"/>
      <c r="O98" s="173"/>
      <c r="P98" s="173"/>
      <c r="Q98" s="173"/>
      <c r="R98" s="173"/>
    </row>
    <row r="99" spans="4:18" ht="15" customHeight="1" x14ac:dyDescent="0.25">
      <c r="D99" s="213">
        <f>DATE(STARTING_YEAR,12,1)</f>
        <v>44896</v>
      </c>
      <c r="E99" s="166" t="s">
        <v>115</v>
      </c>
      <c r="F99" s="181">
        <v>12</v>
      </c>
      <c r="G99" s="88"/>
      <c r="H99" s="177">
        <f t="shared" ref="H99" si="41">1*$E$49</f>
        <v>0</v>
      </c>
      <c r="I99" s="169">
        <f t="shared" ref="I99" si="42">1*$E$52</f>
        <v>0</v>
      </c>
      <c r="J99" s="184" t="s">
        <v>72</v>
      </c>
      <c r="K99" s="187">
        <v>5600</v>
      </c>
      <c r="L99" s="190">
        <v>5600</v>
      </c>
      <c r="M99" s="171">
        <f>MIN(cc_tracked,cc_budget)</f>
        <v>5600</v>
      </c>
      <c r="N99" s="171">
        <f>IF(cc_delta&gt;0,cc_delta,0)</f>
        <v>5600</v>
      </c>
      <c r="O99" s="171">
        <f>IF(cc_delta&lt;0,ABS(cc_delta),0)</f>
        <v>0</v>
      </c>
      <c r="P99" s="171" t="s">
        <v>72</v>
      </c>
      <c r="Q99" s="171" t="s">
        <v>72</v>
      </c>
      <c r="R99" s="171">
        <v>211</v>
      </c>
    </row>
    <row r="100" spans="4:18" ht="15" customHeight="1" x14ac:dyDescent="0.25">
      <c r="D100" s="214"/>
      <c r="E100" s="167" t="s">
        <v>116</v>
      </c>
      <c r="F100" s="179">
        <v>12</v>
      </c>
      <c r="H100" s="177">
        <f t="shared" ref="H100" si="43">1*$E$50</f>
        <v>0</v>
      </c>
      <c r="I100" s="177">
        <f t="shared" si="2"/>
        <v>0</v>
      </c>
      <c r="J100" s="184" t="s">
        <v>72</v>
      </c>
      <c r="K100" s="188">
        <v>3350</v>
      </c>
      <c r="L100" s="191">
        <v>3350</v>
      </c>
      <c r="M100" s="171">
        <f>MIN(cc_tracked,cc_budget)</f>
        <v>3350</v>
      </c>
      <c r="N100" s="171">
        <f>IF(cc_delta&gt;0,cc_delta,0)</f>
        <v>3350</v>
      </c>
      <c r="O100" s="171">
        <f>IF(cc_delta&lt;0,ABS(cc_delta),0)</f>
        <v>0</v>
      </c>
      <c r="P100" s="171" t="s">
        <v>72</v>
      </c>
      <c r="Q100" s="171">
        <v>100</v>
      </c>
      <c r="R100" s="171" t="s">
        <v>72</v>
      </c>
    </row>
    <row r="101" spans="4:18" ht="15" customHeight="1" x14ac:dyDescent="0.25">
      <c r="D101" s="214"/>
      <c r="E101" s="167" t="s">
        <v>117</v>
      </c>
      <c r="F101" s="179">
        <v>12</v>
      </c>
      <c r="H101" s="177">
        <f t="shared" ref="H101" si="44">1*$E$51</f>
        <v>1</v>
      </c>
      <c r="I101" s="177">
        <f t="shared" si="2"/>
        <v>0</v>
      </c>
      <c r="J101" s="184" t="s">
        <v>72</v>
      </c>
      <c r="K101" s="188">
        <v>2250</v>
      </c>
      <c r="L101" s="191">
        <v>2250</v>
      </c>
      <c r="M101" s="171">
        <f>MIN(cc_tracked,cc_budget)</f>
        <v>2250</v>
      </c>
      <c r="N101" s="171">
        <f>IF(cc_delta&gt;0,cc_delta,0)</f>
        <v>2250</v>
      </c>
      <c r="O101" s="171">
        <f>IF(cc_delta&lt;0,ABS(cc_delta),0)</f>
        <v>0</v>
      </c>
      <c r="P101" s="171" t="s">
        <v>72</v>
      </c>
      <c r="Q101" s="171" t="s">
        <v>72</v>
      </c>
      <c r="R101" s="171">
        <v>311</v>
      </c>
    </row>
    <row r="102" spans="4:18" ht="15" customHeight="1" x14ac:dyDescent="0.25">
      <c r="D102" s="215"/>
      <c r="E102" s="168"/>
      <c r="F102" s="182"/>
      <c r="G102" s="61"/>
      <c r="H102" s="183"/>
      <c r="I102" s="168"/>
      <c r="J102" s="185" t="s">
        <v>72</v>
      </c>
      <c r="K102" s="189"/>
      <c r="L102" s="192"/>
      <c r="M102" s="173"/>
      <c r="N102" s="173"/>
      <c r="O102" s="173"/>
      <c r="P102" s="173"/>
      <c r="Q102" s="173"/>
      <c r="R102" s="173"/>
    </row>
  </sheetData>
  <mergeCells count="17">
    <mergeCell ref="D55:D58"/>
    <mergeCell ref="D59:D62"/>
    <mergeCell ref="D63:D66"/>
    <mergeCell ref="A1:Z3"/>
    <mergeCell ref="C6:F6"/>
    <mergeCell ref="C17:F17"/>
    <mergeCell ref="M53:O53"/>
    <mergeCell ref="P53:R53"/>
    <mergeCell ref="D87:D90"/>
    <mergeCell ref="D91:D94"/>
    <mergeCell ref="D95:D98"/>
    <mergeCell ref="D99:D102"/>
    <mergeCell ref="D67:D70"/>
    <mergeCell ref="D71:D74"/>
    <mergeCell ref="D75:D78"/>
    <mergeCell ref="D79:D82"/>
    <mergeCell ref="D83:D86"/>
  </mergeCells>
  <phoneticPr fontId="32"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3" r:id="rId3" name="Check Box 3">
              <controlPr defaultSize="0" autoFill="0" autoLine="0" autoPict="0">
                <anchor moveWithCells="1">
                  <from>
                    <xdr:col>5</xdr:col>
                    <xdr:colOff>342900</xdr:colOff>
                    <xdr:row>48</xdr:row>
                    <xdr:rowOff>38100</xdr:rowOff>
                  </from>
                  <to>
                    <xdr:col>7</xdr:col>
                    <xdr:colOff>771525</xdr:colOff>
                    <xdr:row>49</xdr:row>
                    <xdr:rowOff>76200</xdr:rowOff>
                  </to>
                </anchor>
              </controlPr>
            </control>
          </mc:Choice>
        </mc:AlternateContent>
        <mc:AlternateContent xmlns:mc="http://schemas.openxmlformats.org/markup-compatibility/2006">
          <mc:Choice Requires="x14">
            <control shapeId="5124" r:id="rId4" name="Check Box 4">
              <controlPr defaultSize="0" autoFill="0" autoLine="0" autoPict="0">
                <anchor moveWithCells="1">
                  <from>
                    <xdr:col>5</xdr:col>
                    <xdr:colOff>342900</xdr:colOff>
                    <xdr:row>49</xdr:row>
                    <xdr:rowOff>38100</xdr:rowOff>
                  </from>
                  <to>
                    <xdr:col>7</xdr:col>
                    <xdr:colOff>533400</xdr:colOff>
                    <xdr:row>50</xdr:row>
                    <xdr:rowOff>66675</xdr:rowOff>
                  </to>
                </anchor>
              </controlPr>
            </control>
          </mc:Choice>
        </mc:AlternateContent>
        <mc:AlternateContent xmlns:mc="http://schemas.openxmlformats.org/markup-compatibility/2006">
          <mc:Choice Requires="x14">
            <control shapeId="5125" r:id="rId5" name="Check Box 5">
              <controlPr defaultSize="0" autoFill="0" autoLine="0" autoPict="0">
                <anchor moveWithCells="1">
                  <from>
                    <xdr:col>5</xdr:col>
                    <xdr:colOff>466725</xdr:colOff>
                    <xdr:row>50</xdr:row>
                    <xdr:rowOff>85725</xdr:rowOff>
                  </from>
                  <to>
                    <xdr:col>7</xdr:col>
                    <xdr:colOff>247650</xdr:colOff>
                    <xdr:row>51</xdr:row>
                    <xdr:rowOff>114300</xdr:rowOff>
                  </to>
                </anchor>
              </controlPr>
            </control>
          </mc:Choice>
        </mc:AlternateContent>
        <mc:AlternateContent xmlns:mc="http://schemas.openxmlformats.org/markup-compatibility/2006">
          <mc:Choice Requires="x14">
            <control shapeId="5126" r:id="rId6" name="Check Box 6">
              <controlPr defaultSize="0" autoFill="0" autoLine="0" autoPict="0">
                <anchor moveWithCells="1">
                  <from>
                    <xdr:col>8</xdr:col>
                    <xdr:colOff>590550</xdr:colOff>
                    <xdr:row>49</xdr:row>
                    <xdr:rowOff>38100</xdr:rowOff>
                  </from>
                  <to>
                    <xdr:col>8</xdr:col>
                    <xdr:colOff>1581150</xdr:colOff>
                    <xdr:row>50</xdr:row>
                    <xdr:rowOff>76200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44</vt:i4>
      </vt:variant>
    </vt:vector>
  </HeadingPairs>
  <TitlesOfParts>
    <vt:vector size="49" baseType="lpstr">
      <vt:lpstr>SETTINGS</vt:lpstr>
      <vt:lpstr>BUDGET PLANNING</vt:lpstr>
      <vt:lpstr>BUDGET TRACKING</vt:lpstr>
      <vt:lpstr>BUDGET DASHBOARD</vt:lpstr>
      <vt:lpstr>CALCULATIONS</vt:lpstr>
      <vt:lpstr>'BUDGET DASHBOARD'!budget</vt:lpstr>
      <vt:lpstr>'BUDGET DASHBOARD'!budget_range</vt:lpstr>
      <vt:lpstr>'BUDGET DASHBOARD'!budget_rank</vt:lpstr>
      <vt:lpstr>CALCULATIONS!cc_budget</vt:lpstr>
      <vt:lpstr>CALCULATIONS!cc_delta</vt:lpstr>
      <vt:lpstr>CALCULATIONS!cc_in_focus</vt:lpstr>
      <vt:lpstr>CALCULATIONS!cc_month</vt:lpstr>
      <vt:lpstr>CALCULATIONS!cc_show_rem_budget</vt:lpstr>
      <vt:lpstr>CALCULATIONS!cc_show_type</vt:lpstr>
      <vt:lpstr>CALCULATIONS!cc_tracked</vt:lpstr>
      <vt:lpstr>CALCULATIONS!cc_type</vt:lpstr>
      <vt:lpstr>'BUDGET DASHBOARD'!comb_rank</vt:lpstr>
      <vt:lpstr>'BUDGET DASHBOARD'!comb_rank_norm</vt:lpstr>
      <vt:lpstr>'BUDGET DASHBOARD'!comb_rank_norm_run_range</vt:lpstr>
      <vt:lpstr>'BUDGET DASHBOARD'!comb_rank_range</vt:lpstr>
      <vt:lpstr>'BUDGET DASHBOARD'!comb_rank_unique</vt:lpstr>
      <vt:lpstr>EXPENSES</vt:lpstr>
      <vt:lpstr>'BUDGET DASHBOARD'!header_row_id</vt:lpstr>
      <vt:lpstr>INCOME</vt:lpstr>
      <vt:lpstr>'BUDGET DASHBOARD'!is_cat</vt:lpstr>
      <vt:lpstr>'BUDGET DASHBOARD'!is_empty</vt:lpstr>
      <vt:lpstr>'BUDGET DASHBOARD'!is_header</vt:lpstr>
      <vt:lpstr>'BUDGET DASHBOARD'!is_total</vt:lpstr>
      <vt:lpstr>'BUDGET DASHBOARD'!item</vt:lpstr>
      <vt:lpstr>'BUDGET DASHBOARD'!out_budget</vt:lpstr>
      <vt:lpstr>'BUDGET DASHBOARD'!out_percentage_completed</vt:lpstr>
      <vt:lpstr>'BUDGET DASHBOARD'!out_tracked</vt:lpstr>
      <vt:lpstr>'BUDGET DASHBOARD'!row_id</vt:lpstr>
      <vt:lpstr>SAVINGS</vt:lpstr>
      <vt:lpstr>selected_period</vt:lpstr>
      <vt:lpstr>selected_period_display</vt:lpstr>
      <vt:lpstr>selected_year</vt:lpstr>
      <vt:lpstr>Shift_late_income_starting_day</vt:lpstr>
      <vt:lpstr>Shift_late_income_status</vt:lpstr>
      <vt:lpstr>shift_late_income_status_2</vt:lpstr>
      <vt:lpstr>'BUDGET DASHBOARD'!sort_max_row</vt:lpstr>
      <vt:lpstr>'BUDGET DASHBOARD'!sort_min_row</vt:lpstr>
      <vt:lpstr>STARTING_ON_DAY_X_IN_MONTH</vt:lpstr>
      <vt:lpstr>STARTING_YEAR</vt:lpstr>
      <vt:lpstr>'BUDGET DASHBOARD'!tracked</vt:lpstr>
      <vt:lpstr>'BUDGET DASHBOARD'!tracked_range</vt:lpstr>
      <vt:lpstr>'BUDGET DASHBOARD'!tracked_rank</vt:lpstr>
      <vt:lpstr>tracking1</vt:lpstr>
      <vt:lpstr>'BUDGET DASHBOARD'!type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Amarprava jha</dc:creator>
  <cp:lastModifiedBy>Amarprava jha</cp:lastModifiedBy>
  <dcterms:created xsi:type="dcterms:W3CDTF">2024-07-20T14:10:39Z</dcterms:created>
  <dcterms:modified xsi:type="dcterms:W3CDTF">2024-08-01T19:21:29Z</dcterms:modified>
</cp:coreProperties>
</file>